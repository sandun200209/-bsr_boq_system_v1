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DUN\Downloads\"/>
    </mc:Choice>
  </mc:AlternateContent>
  <xr:revisionPtr revIDLastSave="0" documentId="13_ncr:1_{490B3D34-4F0F-4887-8209-135C9982DF35}" xr6:coauthVersionLast="47" xr6:coauthVersionMax="47" xr10:uidLastSave="{00000000-0000-0000-0000-000000000000}"/>
  <bookViews>
    <workbookView xWindow="-108" yWindow="-108" windowWidth="23256" windowHeight="12456" firstSheet="23" activeTab="24" xr2:uid="{00000000-000D-0000-FFFF-FFFF00000000}"/>
  </bookViews>
  <sheets>
    <sheet name="Summary" sheetId="1" r:id="rId1"/>
    <sheet name="Added Renovation BOQ" sheetId="2" r:id="rId2"/>
    <sheet name="Ancillary Works - Reviewed" sheetId="25" r:id="rId3"/>
    <sheet name="Takeoff &amp; Assumptions" sheetId="3" r:id="rId4"/>
    <sheet name="Rates &amp; Basis" sheetId="4" r:id="rId5"/>
    <sheet name="Site Works - Unchanged" sheetId="5" r:id="rId6"/>
    <sheet name="Modular OT - Unchanged" sheetId="6" r:id="rId7"/>
    <sheet name="Source Notes" sheetId="7" r:id="rId8"/>
    <sheet name="MVAC BOQ &amp; Estimate" sheetId="8" r:id="rId9"/>
    <sheet name="MVAC Scope Reconciliation" sheetId="9" r:id="rId10"/>
    <sheet name="MVAC Rates &amp; Basis" sheetId="10" r:id="rId11"/>
    <sheet name="Medical Gas BOQ &amp; Estimate" sheetId="11" r:id="rId12"/>
    <sheet name="Medical Gas Reconciliation" sheetId="12" r:id="rId13"/>
    <sheet name="Medical Gas Rates &amp; Basis" sheetId="13" r:id="rId14"/>
    <sheet name="Water Supply BOQ &amp; Estimate" sheetId="14" r:id="rId15"/>
    <sheet name="Water Supply Reconciliation" sheetId="15" r:id="rId16"/>
    <sheet name="Water Supply Rates &amp; Basis" sheetId="16" r:id="rId17"/>
    <sheet name="Sheet1" sheetId="29" r:id="rId18"/>
    <sheet name="Wastewater &amp; Sewer BOQ" sheetId="17" r:id="rId19"/>
    <sheet name="Wastewater Reconciliation" sheetId="18" r:id="rId20"/>
    <sheet name="Wastewater Rates &amp; Basis" sheetId="19" r:id="rId21"/>
    <sheet name="Rainwater Disposal BOQ" sheetId="20" r:id="rId22"/>
    <sheet name="Rainwater Reconciliation" sheetId="21" r:id="rId23"/>
    <sheet name="Rainwater Rates &amp; Basis" sheetId="22" r:id="rId24"/>
    <sheet name="Electrical BOQ - Reviewed" sheetId="23" r:id="rId25"/>
    <sheet name="Electrical Reconciliation" sheetId="24" r:id="rId26"/>
    <sheet name="Ancillary Reconciliation" sheetId="26" r:id="rId27"/>
    <sheet name="Site Works - Reviewed" sheetId="27" r:id="rId28"/>
    <sheet name="Consolidation Change Register" sheetId="28" r:id="rId29"/>
  </sheets>
  <definedNames>
    <definedName name="_xlnm.Print_Area" localSheetId="1">'Added Renovation BOQ'!$A$1:$G$100</definedName>
    <definedName name="_xlnm.Print_Titles" localSheetId="1">'Added Renovation BOQ'!$1:$3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8" l="1"/>
  <c r="H19" i="25"/>
  <c r="H6" i="25"/>
  <c r="H7" i="25"/>
  <c r="H5" i="25"/>
  <c r="G80" i="2"/>
  <c r="G79" i="2"/>
  <c r="G78" i="2"/>
  <c r="G71" i="2"/>
  <c r="G70" i="2"/>
  <c r="G69" i="2"/>
  <c r="G68" i="2"/>
  <c r="G67" i="2"/>
  <c r="F57" i="2"/>
  <c r="H57" i="25" l="1"/>
  <c r="H58" i="25"/>
  <c r="H59" i="25"/>
  <c r="H60" i="25"/>
  <c r="H61" i="25"/>
  <c r="H63" i="25"/>
  <c r="H64" i="25"/>
  <c r="H54" i="25"/>
  <c r="H55" i="25"/>
  <c r="H56" i="25"/>
  <c r="H53" i="25"/>
  <c r="H51" i="25"/>
  <c r="H52" i="25"/>
  <c r="H50" i="25"/>
  <c r="F53" i="25"/>
  <c r="H48" i="25"/>
  <c r="H47" i="25"/>
  <c r="H46" i="25"/>
  <c r="H44" i="25"/>
  <c r="H39" i="25"/>
  <c r="H40" i="25"/>
  <c r="H41" i="25"/>
  <c r="H43" i="25"/>
  <c r="H37" i="25"/>
  <c r="H36" i="25"/>
  <c r="H33" i="25"/>
  <c r="H34" i="25"/>
  <c r="F20" i="25"/>
  <c r="E32" i="25"/>
  <c r="H32" i="25" s="1"/>
  <c r="H30" i="25"/>
  <c r="H29" i="25"/>
  <c r="F29" i="25"/>
  <c r="H21" i="25"/>
  <c r="H22" i="25"/>
  <c r="H23" i="25"/>
  <c r="H24" i="25"/>
  <c r="H25" i="25"/>
  <c r="H26" i="25"/>
  <c r="H27" i="25"/>
  <c r="H28" i="25"/>
  <c r="F28" i="25"/>
  <c r="F26" i="25"/>
  <c r="F27" i="25" s="1"/>
  <c r="F25" i="25"/>
  <c r="F24" i="25"/>
  <c r="F21" i="25"/>
  <c r="F22" i="25"/>
  <c r="F18" i="25"/>
  <c r="H15" i="25"/>
  <c r="H16" i="25"/>
  <c r="H17" i="25"/>
  <c r="H18" i="25"/>
  <c r="H20" i="25"/>
  <c r="F17" i="25"/>
  <c r="F16" i="25"/>
  <c r="F15" i="25"/>
  <c r="F12" i="25"/>
  <c r="F13" i="25"/>
  <c r="H9" i="25"/>
  <c r="H10" i="25"/>
  <c r="H11" i="25"/>
  <c r="H12" i="25"/>
  <c r="H13" i="25"/>
  <c r="F11" i="25"/>
  <c r="F10" i="25"/>
  <c r="G9" i="28"/>
  <c r="J39" i="27"/>
  <c r="J37" i="27"/>
  <c r="J38" i="27" s="1"/>
  <c r="G13" i="28"/>
  <c r="K54" i="23"/>
  <c r="K53" i="23"/>
  <c r="K52" i="23"/>
  <c r="G21" i="20"/>
  <c r="G20" i="20"/>
  <c r="G19" i="20"/>
  <c r="G18" i="20"/>
  <c r="G17" i="20"/>
  <c r="G16" i="20"/>
  <c r="G15" i="20"/>
  <c r="G14" i="20"/>
  <c r="G13" i="20"/>
  <c r="G12" i="20"/>
  <c r="G11" i="20"/>
  <c r="G10" i="20"/>
  <c r="G9" i="20"/>
  <c r="G8" i="20"/>
  <c r="G7" i="20"/>
  <c r="G6" i="20"/>
  <c r="G5" i="20"/>
  <c r="G27" i="17"/>
  <c r="G26" i="17"/>
  <c r="G25" i="17"/>
  <c r="G24" i="17"/>
  <c r="G23" i="17"/>
  <c r="G22" i="17"/>
  <c r="G21" i="17"/>
  <c r="G20" i="17"/>
  <c r="G19" i="17"/>
  <c r="G18" i="17"/>
  <c r="G17" i="17"/>
  <c r="G16" i="17"/>
  <c r="G15" i="17"/>
  <c r="G14" i="17"/>
  <c r="G13" i="17"/>
  <c r="G12" i="17"/>
  <c r="G11" i="17"/>
  <c r="G10" i="17"/>
  <c r="G9" i="17"/>
  <c r="G8" i="17"/>
  <c r="G7" i="17"/>
  <c r="G6" i="17"/>
  <c r="G5" i="17"/>
  <c r="G29" i="14"/>
  <c r="G28" i="14"/>
  <c r="G27" i="14"/>
  <c r="G26" i="14"/>
  <c r="G25" i="14"/>
  <c r="G24" i="14"/>
  <c r="G23" i="14"/>
  <c r="G22" i="14"/>
  <c r="G21" i="14"/>
  <c r="G20" i="14"/>
  <c r="G19" i="14"/>
  <c r="G18" i="14"/>
  <c r="G17" i="14"/>
  <c r="G16" i="14"/>
  <c r="G15" i="14"/>
  <c r="G14" i="14"/>
  <c r="G13" i="14"/>
  <c r="G12" i="14"/>
  <c r="G11" i="14"/>
  <c r="G10" i="14"/>
  <c r="G9" i="14"/>
  <c r="G8" i="14"/>
  <c r="G7" i="14"/>
  <c r="G6" i="14"/>
  <c r="G5" i="14"/>
  <c r="G27" i="11"/>
  <c r="G26" i="11"/>
  <c r="G25" i="11"/>
  <c r="G24" i="11"/>
  <c r="G23" i="11"/>
  <c r="G22" i="11"/>
  <c r="G21" i="11"/>
  <c r="G20" i="11"/>
  <c r="G19" i="11"/>
  <c r="G18" i="11"/>
  <c r="G17" i="11"/>
  <c r="G16" i="11"/>
  <c r="G15" i="11"/>
  <c r="G14" i="11"/>
  <c r="G13" i="11"/>
  <c r="G12" i="11"/>
  <c r="G11" i="11"/>
  <c r="G10" i="11"/>
  <c r="G9" i="11"/>
  <c r="G8" i="11"/>
  <c r="G7" i="11"/>
  <c r="G6" i="11"/>
  <c r="G5" i="11"/>
  <c r="G28" i="8"/>
  <c r="G27" i="8"/>
  <c r="G26" i="8"/>
  <c r="G25" i="8"/>
  <c r="G24" i="8"/>
  <c r="G23" i="8"/>
  <c r="G22" i="8"/>
  <c r="G21" i="8"/>
  <c r="G20" i="8"/>
  <c r="G19" i="8"/>
  <c r="G18" i="8"/>
  <c r="G17" i="8"/>
  <c r="G16" i="8"/>
  <c r="G15" i="8"/>
  <c r="G14" i="8"/>
  <c r="G13" i="8"/>
  <c r="G12" i="8"/>
  <c r="G11" i="8"/>
  <c r="G10" i="8"/>
  <c r="G9" i="8"/>
  <c r="G8" i="8"/>
  <c r="G7" i="8"/>
  <c r="G6" i="8"/>
  <c r="G31" i="8" s="1"/>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I50" i="5"/>
  <c r="I49" i="5"/>
  <c r="I46" i="5"/>
  <c r="I45" i="5"/>
  <c r="I44" i="5"/>
  <c r="I43" i="5"/>
  <c r="I42" i="5"/>
  <c r="I41" i="5"/>
  <c r="I37" i="5"/>
  <c r="I36" i="5"/>
  <c r="I39" i="5" s="1"/>
  <c r="G33" i="5"/>
  <c r="I33" i="5" s="1"/>
  <c r="I32" i="5"/>
  <c r="I31" i="5"/>
  <c r="G29" i="5"/>
  <c r="G28" i="5"/>
  <c r="I28" i="5" s="1"/>
  <c r="G27" i="5"/>
  <c r="I27" i="5" s="1"/>
  <c r="I25" i="5"/>
  <c r="I24" i="5"/>
  <c r="I21" i="5"/>
  <c r="I20" i="5"/>
  <c r="I17" i="5"/>
  <c r="I16" i="5"/>
  <c r="I15" i="5"/>
  <c r="I14" i="5"/>
  <c r="I13" i="5"/>
  <c r="I12" i="5"/>
  <c r="I11" i="5"/>
  <c r="I10" i="5"/>
  <c r="I8" i="5"/>
  <c r="I7" i="5"/>
  <c r="G97" i="2"/>
  <c r="G96" i="2"/>
  <c r="G95" i="2"/>
  <c r="G94" i="2"/>
  <c r="G93" i="2"/>
  <c r="G92" i="2"/>
  <c r="G91" i="2"/>
  <c r="G87" i="2"/>
  <c r="G86" i="2"/>
  <c r="G85" i="2"/>
  <c r="G82" i="2"/>
  <c r="G81" i="2"/>
  <c r="G76" i="2"/>
  <c r="G75" i="2"/>
  <c r="G72" i="2"/>
  <c r="G66" i="2"/>
  <c r="G63" i="2"/>
  <c r="G62" i="2"/>
  <c r="G61" i="2"/>
  <c r="G60" i="2"/>
  <c r="G59" i="2"/>
  <c r="G58" i="2"/>
  <c r="G57" i="2"/>
  <c r="G56" i="2"/>
  <c r="G55" i="2"/>
  <c r="G54" i="2"/>
  <c r="G53" i="2"/>
  <c r="G50" i="2"/>
  <c r="G49" i="2"/>
  <c r="G48" i="2"/>
  <c r="G47" i="2"/>
  <c r="G46" i="2"/>
  <c r="G45" i="2"/>
  <c r="G42" i="2"/>
  <c r="G41" i="2"/>
  <c r="G40" i="2"/>
  <c r="G39" i="2"/>
  <c r="F38" i="2"/>
  <c r="G38" i="2" s="1"/>
  <c r="G37" i="2"/>
  <c r="G36" i="2"/>
  <c r="G35" i="2"/>
  <c r="G34" i="2"/>
  <c r="G33" i="2"/>
  <c r="G32" i="2"/>
  <c r="G31" i="2"/>
  <c r="G28" i="2"/>
  <c r="G27" i="2"/>
  <c r="G26" i="2"/>
  <c r="G25" i="2"/>
  <c r="G24" i="2"/>
  <c r="G23" i="2"/>
  <c r="G22" i="2"/>
  <c r="G21" i="2"/>
  <c r="G20" i="2"/>
  <c r="G19" i="2"/>
  <c r="G18" i="2"/>
  <c r="F17" i="2"/>
  <c r="G17" i="2" s="1"/>
  <c r="G16" i="2"/>
  <c r="G15" i="2"/>
  <c r="G12" i="2"/>
  <c r="G11" i="2"/>
  <c r="G10" i="2"/>
  <c r="G9" i="2"/>
  <c r="G8" i="2"/>
  <c r="G7" i="2"/>
  <c r="G6" i="2"/>
  <c r="G5" i="2"/>
  <c r="D16" i="1"/>
  <c r="B5" i="1"/>
  <c r="G30" i="17" l="1"/>
  <c r="K56" i="23"/>
  <c r="B13" i="1"/>
  <c r="H40" i="6"/>
  <c r="B8" i="1"/>
  <c r="I18" i="5"/>
  <c r="I9" i="5"/>
  <c r="I29" i="5"/>
  <c r="G30" i="5"/>
  <c r="I30" i="5" s="1"/>
  <c r="I34" i="5" s="1"/>
  <c r="I47" i="5"/>
  <c r="I22" i="5"/>
  <c r="I51" i="5"/>
  <c r="G24" i="20"/>
  <c r="B12" i="1" s="1"/>
  <c r="G32" i="14"/>
  <c r="G30" i="11"/>
  <c r="G83" i="2"/>
  <c r="G88" i="2"/>
  <c r="G73" i="2"/>
  <c r="G98" i="2"/>
  <c r="G29" i="2"/>
  <c r="G43" i="2"/>
  <c r="G51" i="2"/>
  <c r="G64" i="2"/>
  <c r="H65" i="25"/>
  <c r="B14" i="1" s="1"/>
  <c r="B24" i="1"/>
  <c r="G13" i="2"/>
  <c r="C12" i="1"/>
  <c r="E12" i="1"/>
  <c r="C10" i="1"/>
  <c r="B10" i="1"/>
  <c r="C8" i="1"/>
  <c r="E8" i="1"/>
  <c r="G32" i="17"/>
  <c r="C11" i="1" s="1"/>
  <c r="G33" i="17"/>
  <c r="E11" i="1" s="1"/>
  <c r="B11" i="1"/>
  <c r="B9" i="1"/>
  <c r="C9" i="1"/>
  <c r="G4" i="28"/>
  <c r="G5" i="28"/>
  <c r="G7" i="28"/>
  <c r="G8" i="28"/>
  <c r="G10" i="28"/>
  <c r="J41" i="27"/>
  <c r="C5" i="1" s="1"/>
  <c r="G12" i="28"/>
  <c r="K57" i="23" l="1"/>
  <c r="E13" i="1" s="1"/>
  <c r="C13" i="1"/>
  <c r="I53" i="5"/>
  <c r="E9" i="1"/>
  <c r="G100" i="2"/>
  <c r="B7" i="1" s="1"/>
  <c r="B16" i="1" s="1"/>
  <c r="E10" i="1"/>
  <c r="J42" i="27"/>
  <c r="E5" i="1" s="1"/>
</calcChain>
</file>

<file path=xl/sharedStrings.xml><?xml version="1.0" encoding="utf-8"?>
<sst xmlns="http://schemas.openxmlformats.org/spreadsheetml/2006/main" count="4813" uniqueCount="2574">
  <si>
    <t>ADDED PREPARATORY / DEMOLITION / CIVIL RENOVATION BOQ &amp; ESTIMATE</t>
  </si>
  <si>
    <t>Project: Improvement to MEP Services and Renovation of Theatre Complex at District General Hospital Matara</t>
  </si>
  <si>
    <t>Contingency</t>
  </si>
  <si>
    <t>VAT</t>
  </si>
  <si>
    <t>Status</t>
  </si>
  <si>
    <t>Section</t>
  </si>
  <si>
    <t>Item No.</t>
  </si>
  <si>
    <t>Description</t>
  </si>
  <si>
    <t>Unit</t>
  </si>
  <si>
    <t>Qty</t>
  </si>
  <si>
    <t>Rate (LKR)</t>
  </si>
  <si>
    <t>Amount (LKR)</t>
  </si>
  <si>
    <t>Rate Type</t>
  </si>
  <si>
    <t>Rate Ref.</t>
  </si>
  <si>
    <t>Drawing / Basis</t>
  </si>
  <si>
    <t>Remarks / Qualification</t>
  </si>
  <si>
    <t>A - Preparatory / Enabling Works</t>
  </si>
  <si>
    <t>A</t>
  </si>
  <si>
    <t>A1</t>
  </si>
  <si>
    <t>Prepare renovation phasing, infection-control/dust/noise control plans, permits, demolition method statements and coordination submissions for work in/adjacent to the occupied hospital.</t>
  </si>
  <si>
    <t>LS</t>
  </si>
  <si>
    <t>Engineer PS</t>
  </si>
  <si>
    <t>PS-A1</t>
  </si>
  <si>
    <t>Hospital renovation / ICRA basis</t>
  </si>
  <si>
    <t>Excludes specialist OT validation already in modular package.</t>
  </si>
  <si>
    <t>A2</t>
  </si>
  <si>
    <t>Provide and maintain dust-tight temporary partitions/hoardings, zipped/controlled access, local negative-air/dust extraction arrangements and sealed interfaces as required for phased internal demolition.</t>
  </si>
  <si>
    <t>PS-A2</t>
  </si>
  <si>
    <t>Hospital operational constraint</t>
  </si>
  <si>
    <t>Final arrangement to infection-control approval; power to temporary equipment by relevant trade.</t>
  </si>
  <si>
    <t>A3</t>
  </si>
  <si>
    <t>Protect retained floors, walls, doors, lifts, adjacent equipment and operational routes; provide temporary floor/wall protection and reinstate after completion.</t>
  </si>
  <si>
    <t>PS-A3</t>
  </si>
  <si>
    <t>Existing plans / hospital constraint</t>
  </si>
  <si>
    <t>Protection for internal renovation only; site-work protection remains in unchanged Site Works BOQ.</t>
  </si>
  <si>
    <t>A4</t>
  </si>
  <si>
    <t>Detailed measured survey, setting-out, service detection/scanning and marking of existing structure/services before demolition; maintain survey records and coordinate revised shop drawings.</t>
  </si>
  <si>
    <t>PS-A4</t>
  </si>
  <si>
    <t>Drawings 004/005/006/007</t>
  </si>
  <si>
    <t>Includes verification of slab/beam positions and service routes before cutting.</t>
  </si>
  <si>
    <t>A5</t>
  </si>
  <si>
    <t>Temporary internal debris route, controlled material handling, daily hospital-sensitive housekeeping and progressive cleaning during demolition and civil works.</t>
  </si>
  <si>
    <t>PS-A5</t>
  </si>
  <si>
    <t>Separate from final terminal clean.</t>
  </si>
  <si>
    <t>A6</t>
  </si>
  <si>
    <t>Prepare existing structural slab/substrate in four OTs and scrub rooms by inspection, grinding and local patch repair before modular flooring installation; exclude self-levelling screed, conductive vinyl, copper grid and coving included in unchanged Modular OT BOQ.</t>
  </si>
  <si>
    <t>m²</t>
  </si>
  <si>
    <t>PS-A6</t>
  </si>
  <si>
    <t>OT + scrub measured area ≈219.989 m²</t>
  </si>
  <si>
    <t>Only substrate repair/preparation prior to specialist modular flooring.</t>
  </si>
  <si>
    <t>A7</t>
  </si>
  <si>
    <t>Prepare structural slab/wall interfaces for modular OT support fixings: survey/mark anchors, remove loose finishes and locally repair concrete; exclude modular secondary steel/support frames and specialist penetrations already in modular package.</t>
  </si>
  <si>
    <t>PS-A7</t>
  </si>
  <si>
    <t>Modular OT interface</t>
  </si>
  <si>
    <t>No double payment for modular support frames.</t>
  </si>
  <si>
    <t>A8</t>
  </si>
  <si>
    <t>Final pre-installation builders' clean and dust removal of OT/scrub structural shell immediately before specialist modular theatre installation.</t>
  </si>
  <si>
    <t>PS-A8</t>
  </si>
  <si>
    <t>Modular OT preparatory work</t>
  </si>
  <si>
    <t>Not the final cleanroom/OT validation or terminal clean.</t>
  </si>
  <si>
    <t>Subtotal - A - Preparatory / Enabling Works</t>
  </si>
  <si>
    <t>B - Demolition &amp; Strip-out</t>
  </si>
  <si>
    <t>B</t>
  </si>
  <si>
    <t>B1</t>
  </si>
  <si>
    <t>Carefully dismantle existing aluminium door/window assemblies including frames, glazing and fittings; stack reusable materials and make good disturbed jambs/sills.</t>
  </si>
  <si>
    <t>Matara BSR 2026</t>
  </si>
  <si>
    <t>DM41</t>
  </si>
  <si>
    <t>Drawing 006 / existing openings</t>
  </si>
  <si>
    <t>Preliminary combined area; remeasure by opening schedule.</t>
  </si>
  <si>
    <t>B2</t>
  </si>
  <si>
    <t>Carefully remove aluminium glazed partition / curtain-wall type assemblies including mullions, transoms, glazing and sealants; stack/dispose as directed and make good fixing locations.</t>
  </si>
  <si>
    <t>Matara BSR 2026 - qualified</t>
  </si>
  <si>
    <t>DM43</t>
  </si>
  <si>
    <t>Drawing 006</t>
  </si>
  <si>
    <t>Closest BSR proxy for aluminium partition removal; specialist glass handling may require adjustment.</t>
  </si>
  <si>
    <t>B3</t>
  </si>
  <si>
    <t>Carefully dismantle existing wooden door including frames, slashes ,glazing and fittings; stack reusable materials and make good disturbed jambs/sills.</t>
  </si>
  <si>
    <t>m2</t>
  </si>
  <si>
    <t>B4</t>
  </si>
  <si>
    <t>Demolish non-load-bearing brick/block partition walls including finishes; controlled cutting, dust suppression, protection of structure/services and clearing debris.</t>
  </si>
  <si>
    <t>m³</t>
  </si>
  <si>
    <t>DM08</t>
  </si>
  <si>
    <t>Drawing 006 red demolition</t>
  </si>
  <si>
    <t>Quantity assumes predominantly 100/150 mm partitions; verify wall thicknesses.</t>
  </si>
  <si>
    <t>B5</t>
  </si>
  <si>
    <t>Demolish any load-bearing masonry only where specifically instructed after structural approval, including controlled sequence; masonry demolition rate only.</t>
  </si>
  <si>
    <t>Drawing 005/006</t>
  </si>
  <si>
    <t>ZERO provisional quantity. Temporary propping/needling priced separately under C7.</t>
  </si>
  <si>
    <t>B6</t>
  </si>
  <si>
    <t>Remove existing floor tiles and tile-bed/screed finishes to areas receiving new finishes, protect structural slab and prepare exposed surface.</t>
  </si>
  <si>
    <t>DM19</t>
  </si>
  <si>
    <t>Drawings 006/007 + finish renewal allowance</t>
  </si>
  <si>
    <t>Preliminary internal renovation floor-strip area.</t>
  </si>
  <si>
    <t>Cut /remove existing floor concrete without damaging the reinforcement if any; up to a maximum of 150mm depth  for wall foundation rate to included removal of debris</t>
  </si>
  <si>
    <t>m3</t>
  </si>
  <si>
    <t>B7</t>
  </si>
  <si>
    <r>
      <t>Carefully dismantle and remove existing lightweight canopy roof covering</t>
    </r>
    <r>
      <rPr>
        <sz val="11"/>
        <rFont val="Carlito"/>
      </rPr>
      <t>, including corrugated roofing sheets, frames, ridge/flashing pieces, gutters where affected, screws, bolts and other fixings; lower materials safely, segregate reusable materials if directed, load and transport debris to an approved disposal location, complete.</t>
    </r>
  </si>
  <si>
    <t>Derived from BSR</t>
  </si>
  <si>
    <t>PS-B6</t>
  </si>
  <si>
    <t>Drawing 009 ceiling layout</t>
  </si>
  <si>
    <t>MEP disconnection/removal above ceilings is measured separately under Section I; protect all live services to remain.</t>
  </si>
  <si>
    <t>B8</t>
  </si>
  <si>
    <r>
      <t>Carefully remove existing timber trolley/wall guard</t>
    </r>
    <r>
      <rPr>
        <sz val="11"/>
        <rFont val="Carlito"/>
      </rPr>
      <t xml:space="preserve"> fixed to walls, including removal of timber sections, brackets, screws, nails and other fixings; cutting where necessary; making good minor holes/damaged plaster surfaces caused by removal; lowering, loading, transporting and disposing of debris/materials to an approved disposal location, complete as directed by the Engineer.</t>
    </r>
  </si>
  <si>
    <t>m</t>
  </si>
  <si>
    <t>B9</t>
  </si>
  <si>
    <t>Remove existing wall tiles, splashbacks and bonded wall finishes where required for new wet-area/hygienic finishes, including surface preparation.</t>
  </si>
  <si>
    <t>PS-B7</t>
  </si>
  <si>
    <t>Wet rooms / equipment washing / accessible WC</t>
  </si>
  <si>
    <t>Actual finish build-up to be verified before demolition.</t>
  </si>
  <si>
    <t>B10</t>
  </si>
  <si>
    <t>Carefully remove existing sanitary fixtures, counters and minor fixed non-medical fittings affected by renovation; cap openings by relevant MEP trade and store/dispose as directed.</t>
  </si>
  <si>
    <t>Nr</t>
  </si>
  <si>
    <t>PS-B8</t>
  </si>
  <si>
    <t>Room layout / wet areas</t>
  </si>
  <si>
    <t>Medical equipment relocation is measured separately under Section I; sanitary fixture removal remains under this item.</t>
  </si>
  <si>
    <t>B11</t>
  </si>
  <si>
    <t>Demolishing reinforced cement concrete in suspended floors up to 100mm-150mm thick , removing reinforcement and clearing debris.</t>
  </si>
  <si>
    <t>B12</t>
  </si>
  <si>
    <t>Demolishing cement concrete and clearing debris in floors from 100mm  to 150mm thick floors.</t>
  </si>
  <si>
    <t>B13</t>
  </si>
  <si>
    <t>Load, cart and dispose demolition/strip-out debris by tractor trailer to approved disposal point up to 3 km, including fees/attendance.</t>
  </si>
  <si>
    <t>Load</t>
  </si>
  <si>
    <t>Existing Site BOQ BSR</t>
  </si>
  <si>
    <t>B40</t>
  </si>
  <si>
    <t>Disposal allowance</t>
  </si>
  <si>
    <t>Preliminary load count; hazardous material disposal excluded.</t>
  </si>
  <si>
    <t>Subtotal - B - Demolition &amp; Strip-out</t>
  </si>
  <si>
    <t>C - Structural / Builders' Work</t>
  </si>
  <si>
    <t>C</t>
  </si>
  <si>
    <t>C1</t>
  </si>
  <si>
    <t>Saw-cut and form new openings in non-load-bearing walls for doors, transfer openings and coordinated services; provide neat edges and making good.</t>
  </si>
  <si>
    <t>PS-C1</t>
  </si>
  <si>
    <t>Drawings 007/008</t>
  </si>
  <si>
    <t>Excludes structural beam/slab openings unless Engineer-approved.</t>
  </si>
  <si>
    <t>C2</t>
  </si>
  <si>
    <t>Grade 25 concrete to local slab infills, upstands, small equipment plinths, thresholds and builders-work bases; reinforcement/formwork separate.</t>
  </si>
  <si>
    <t>CT54</t>
  </si>
  <si>
    <t>New construction / local making good</t>
  </si>
  <si>
    <t>Final member sizes/details to Engineer approval.</t>
  </si>
  <si>
    <t>C3</t>
  </si>
  <si>
    <t>Grade 25 concrete to stiffner columns; reinforcement/formwork separate.</t>
  </si>
  <si>
    <t>C4</t>
  </si>
  <si>
    <t>High-yield/mild steel reinforcement to local concrete works, cut, bend and fix including binding wire.</t>
  </si>
  <si>
    <t>kg</t>
  </si>
  <si>
    <t>RF02</t>
  </si>
  <si>
    <t>Local structural works</t>
  </si>
  <si>
    <t>Split by bar grade/level if final BSR requires.</t>
  </si>
  <si>
    <t>C5</t>
  </si>
  <si>
    <t>Plywood formwork to local beams, trimming/upstands/plinths and concrete repairs, including props, ties and striking.</t>
  </si>
  <si>
    <t>FW19</t>
  </si>
  <si>
    <t>Budgetary proxy; final formwork category to actual member.</t>
  </si>
  <si>
    <t>Pre-cast lintels size 225 mm × 225 mm deep in Grade 25 concrete, reinforced with 4 nos. of 12mm dia. tor steel bars and 6mm mild steel stirrups @ 150mm  c/c, including necessary formwork on the ground floor.</t>
  </si>
  <si>
    <t>Derived Matara BSR 2026</t>
  </si>
  <si>
    <t>DER-L100</t>
  </si>
  <si>
    <t>New door openings</t>
  </si>
  <si>
    <t>Final lintel size/reinforcement to approved details.</t>
  </si>
  <si>
    <t>C6</t>
  </si>
  <si>
    <t>Pre-cast lintels size 225 mm × 150 mm deep in Grade 25 concrete, reinforced with 4 nos. of 10 mm dia. tor steel bars and 6mm mild steel stirrups @ 150mm  c/c, including necessary formwork on the ground floor.</t>
  </si>
  <si>
    <t>DER-L150</t>
  </si>
  <si>
    <t>Pre-cast lintels size 150 mm × 150 mm deep in Grade 25 concrete, reinforced with 4 nos. of 10 mm dia. tor steel bars and 6mm mild steel stirrups @ 150mm  c/c, including necessary formwork on the ground floor.</t>
  </si>
  <si>
    <t>C7</t>
  </si>
  <si>
    <t>Temporary shoring, propping and needling for any Engineer-approved structural/load-bearing alteration, complete with design/method statement and removal after permanent works.</t>
  </si>
  <si>
    <t>PS-C7</t>
  </si>
  <si>
    <t>Structural safety allowance</t>
  </si>
  <si>
    <t>Provisional; use only where structural Engineer confirms need.</t>
  </si>
  <si>
    <t>C8</t>
  </si>
  <si>
    <t>Core drilling / controlled builders-work openings in retained masonry/RCC for coordinated non-modular services and civil interfaces, including making good after installation.</t>
  </si>
  <si>
    <t>PS-C8</t>
  </si>
  <si>
    <t>Coordination allowance</t>
  </si>
  <si>
    <t>Specialist structural approval required for RCC openings.</t>
  </si>
  <si>
    <t>C9</t>
  </si>
  <si>
    <t>Fire-stop and seal non-modular builders-work penetrations/openings after MEP installation, including approved collars/mortar/sealant and cleanable finishing.</t>
  </si>
  <si>
    <t>PS-C9</t>
  </si>
  <si>
    <t>Non-modular areas</t>
  </si>
  <si>
    <t>OT modular envelope penetration seals remain in specialist package.</t>
  </si>
  <si>
    <t>C10</t>
  </si>
  <si>
    <t>Crack repair, spalled concrete repair, edge repair and local restoration of retained walls/slabs/columns uncovered during demolition.</t>
  </si>
  <si>
    <t>PS-C10</t>
  </si>
  <si>
    <t>Existing building condition allowance</t>
  </si>
  <si>
    <t>Use approved repair method/material after exposing substrate.</t>
  </si>
  <si>
    <t>Subtotal - C - Structural / Builders' Work</t>
  </si>
  <si>
    <t>D - Masonry &amp; Plastering</t>
  </si>
  <si>
    <t>D</t>
  </si>
  <si>
    <t>D1</t>
  </si>
  <si>
    <t>4" thick cement sand solid block wall (blocks confirming to S.L.S.855 and subject to the approval of sample blocks) in cement and sand mortar 1:5 in ground floor.</t>
  </si>
  <si>
    <t>CB01</t>
  </si>
  <si>
    <t>Drawing 007 new partitions</t>
  </si>
  <si>
    <t>Non-load-bearing only.</t>
  </si>
  <si>
    <t>D2</t>
  </si>
  <si>
    <t>6" thick cement sand solid block wall (blocks confirming to S.L.S. 855 and subject to the approval of sample blocks) in cement and sand mortar 1:5 in ground floor.</t>
  </si>
  <si>
    <t>BSR</t>
  </si>
  <si>
    <t>DER-CB6</t>
  </si>
  <si>
    <t>Derived from 100 mm BSR rate; confirm approval.</t>
  </si>
  <si>
    <t>D3</t>
  </si>
  <si>
    <t>225 mm brickwork in 1:5 cement:sand mortar for local walls/infill where shown or instructed.</t>
  </si>
  <si>
    <t>BK01</t>
  </si>
  <si>
    <t>Local infill allowance</t>
  </si>
  <si>
    <t>Use only where 225 mm masonry is actually required.</t>
  </si>
  <si>
    <t>D4</t>
  </si>
  <si>
    <t>Plastering 5/8" thick to walls in cement and sand 1:5 finished semi-rough.</t>
  </si>
  <si>
    <t>DER-PLSKIM</t>
  </si>
  <si>
    <t>New wall faces</t>
  </si>
  <si>
    <t>Area equals preliminary new-wall faces including allowance for reveals.</t>
  </si>
  <si>
    <t>D5</t>
  </si>
  <si>
    <t>10 mm cement:sand 1:3 plaster repair to RCC soffits, beams and column faces after ceiling/partition alterations.</t>
  </si>
  <si>
    <t>PL02</t>
  </si>
  <si>
    <t>Existing RCC surfaces</t>
  </si>
  <si>
    <t>Includes preparation and curing; workability enhancer subject to approval.</t>
  </si>
  <si>
    <t>D6</t>
  </si>
  <si>
    <t>Patch plaster/make good existing wall surfaces after demolition, chased services and door/frame removals; finish smooth to match adjacent surfaces.</t>
  </si>
  <si>
    <t>Renovation making-good allowance</t>
  </si>
  <si>
    <t>Actual patch area to be jointly measured.</t>
  </si>
  <si>
    <t>Subtotal - D - Masonry &amp; Plastering</t>
  </si>
  <si>
    <t>E - Architectural Finishes</t>
  </si>
  <si>
    <t>E</t>
  </si>
  <si>
    <t>E1</t>
  </si>
  <si>
    <t>Hospital-grade non-conductive welded clinical vinyl sheet flooring with coved skirting to recovery, sterile/semi-clean and other clinical support areas outside the unchanged modular OT floor scope.</t>
  </si>
  <si>
    <t>Market benchmark</t>
  </si>
  <si>
    <t>MOD-R2 derived</t>
  </si>
  <si>
    <t>Room types / Employer Requirements</t>
  </si>
  <si>
    <t>Same budgetary installed level used for modular scrub clinical vinyl; confirm supplier quote.</t>
  </si>
  <si>
    <t>E2</t>
  </si>
  <si>
    <t>600x600 mm glazed/homogeneous ceramic floor tiles to general staff, public/support rooms including 20 mm 1:3 screed bedding and grout.</t>
  </si>
  <si>
    <t>NWSDB 2025 +27%</t>
  </si>
  <si>
    <t>T1.9.1.1</t>
  </si>
  <si>
    <t>General non-clinical/support areas</t>
  </si>
  <si>
    <t>Based on Indian/Chinese glazed tile basic LKR 4,553/m² x 1.27; final finish selection to room data.</t>
  </si>
  <si>
    <t>E3</t>
  </si>
  <si>
    <t>600x600 mm homogeneous matt/non-slip ceramic floor tiles to toilets, wet rooms and changing wet areas including screed bedding and grout.</t>
  </si>
  <si>
    <t>Accessible toilet / wet areas</t>
  </si>
  <si>
    <t>Based on homogeneous matt basic LKR 4,525/m² x 1.27.</t>
  </si>
  <si>
    <t>E4</t>
  </si>
  <si>
    <t>300x600 mm glazed ceramic wall tiles to toilets, equipment-washing splash zones and wet-area walls including bedding and grout.</t>
  </si>
  <si>
    <t>T2.13.2</t>
  </si>
  <si>
    <t>Wet-area wall finishes</t>
  </si>
  <si>
    <t>Basic LKR 5,034/m² x 1.27; final height/extents to drawings.</t>
  </si>
  <si>
    <t>E5</t>
  </si>
  <si>
    <t>T2.14.2</t>
  </si>
  <si>
    <t>Drawing 009 CF-01 / non-OT areas</t>
  </si>
  <si>
    <t>Basic LKR 5,920/m² x 1.27; use cleanable healthcare-suitable product.</t>
  </si>
  <si>
    <t>E7</t>
  </si>
  <si>
    <t>Prepare plastered internal walls and apply one coat filler and two coats approved washable low-VOC emulsion paint to specified colour.</t>
  </si>
  <si>
    <t>V.1.1.1.1</t>
  </si>
  <si>
    <t>Non-OT painted walls</t>
  </si>
  <si>
    <t>Basic LKR 887/m² x 1.27.</t>
  </si>
  <si>
    <t>E8</t>
  </si>
  <si>
    <t>Prepare and paint sides/soffits of slabs and beams with filler and two coats approved emulsion paint.</t>
  </si>
  <si>
    <t>Exposed soffits/beams</t>
  </si>
  <si>
    <t>Basic LKR 1,052/m² x 1.27.</t>
  </si>
  <si>
    <t>E9</t>
  </si>
  <si>
    <t>Waterproofing to toilet/equipment-washing wet floors and local upstands, including surface preparation, detailing and flood/pond test where practical.</t>
  </si>
  <si>
    <t>PS-E9</t>
  </si>
  <si>
    <t>Wet rooms</t>
  </si>
  <si>
    <t>Specialist system/quotation to be approved.</t>
  </si>
  <si>
    <t>E10</t>
  </si>
  <si>
    <t>Hospital corridor trolley/bumper guard to walls, complete with rails, brackets, end caps, corners and fixings.</t>
  </si>
  <si>
    <t>PS-E10</t>
  </si>
  <si>
    <t>Drawing 010 trolley/corner guard</t>
  </si>
  <si>
    <t>Final material/profile/height to approved detail.</t>
  </si>
  <si>
    <t>E11</t>
  </si>
  <si>
    <t>Heavy-duty corner guards to exposed wall/column corners in trolley routes.</t>
  </si>
  <si>
    <t>PS-E11</t>
  </si>
  <si>
    <t>Final count/profile by site measurement.</t>
  </si>
  <si>
    <t>E12</t>
  </si>
  <si>
    <t>Transition strips, thresholds, sealants, movement-joint trims and minor finish accessories between new finishes and retained/modular finishes.</t>
  </si>
  <si>
    <t>PS-E12</t>
  </si>
  <si>
    <t>Interface allowance</t>
  </si>
  <si>
    <t>Avoid duplication with modular specialist coves/trims inside modular OT scope.</t>
  </si>
  <si>
    <t>Subtotal - E - Architectural Finishes</t>
  </si>
  <si>
    <t>F - Doors, Glazing &amp; Fixed Joinery</t>
  </si>
  <si>
    <t>F</t>
  </si>
  <si>
    <t>F1</t>
  </si>
  <si>
    <t>Engineer PS / market allowance</t>
  </si>
  <si>
    <t>PS-F1</t>
  </si>
  <si>
    <t>Drawing 008: 62 door tags less 8 modular OT doors</t>
  </si>
  <si>
    <t>Door type schedule not provided; remeasure and split single/double/fire/acoustic doors before tender.</t>
  </si>
  <si>
    <t>F2</t>
  </si>
  <si>
    <t>F3</t>
  </si>
  <si>
    <t>PS-F3</t>
  </si>
  <si>
    <t>Room layout RN-20/RN-25/support rooms</t>
  </si>
  <si>
    <t>Loose furniture excluded.</t>
  </si>
  <si>
    <t>Subtotal - F - Doors, Glazing &amp; Fixed Joinery</t>
  </si>
  <si>
    <t>G - Sanitary / Fixed Architectural Fittings</t>
  </si>
  <si>
    <t>G</t>
  </si>
  <si>
    <t>G1</t>
  </si>
  <si>
    <t>Accessible toilet fixture and accessory package: WC, wash-hand basin, grab rails, mirror, dispensers and minor accessories; exclude electrical emergency-call wiring and main pipework.</t>
  </si>
  <si>
    <t>Set</t>
  </si>
  <si>
    <t>PS-G1</t>
  </si>
  <si>
    <t>RN-27 Accessible Toilet</t>
  </si>
  <si>
    <t>Final fixture selection and accessibility clearances to approved detail.</t>
  </si>
  <si>
    <t>G2</t>
  </si>
  <si>
    <t>Sanitary fixture allowance for staff/changing/utility areas outside RN-27, including standard WCs, wash basins, mirrors and accessories; exclude distribution pipework/drainage mains.</t>
  </si>
  <si>
    <t>PS-G2</t>
  </si>
  <si>
    <t>Staff/support wet areas</t>
  </si>
  <si>
    <t>Provisional fixture allowance; final count from sanitary layout.</t>
  </si>
  <si>
    <t>G3</t>
  </si>
  <si>
    <t>Non-OT sinks/worktops to tea/dining and equipment-washing/support areas, stainless steel or approved hygienic finish including brackets and local sealants.</t>
  </si>
  <si>
    <t>PS-G3</t>
  </si>
  <si>
    <t>RN-20 / RN-23</t>
  </si>
  <si>
    <t>Scrub sinks already included in modular package.</t>
  </si>
  <si>
    <t>G4</t>
  </si>
  <si>
    <t>Adjustable shelving / wall-mounted fixed storage to sterile/general/utility stores not already included in specialist Modular OT package.</t>
  </si>
  <si>
    <t>PS-G4</t>
  </si>
  <si>
    <t>RN-11/12/21/22/33</t>
  </si>
  <si>
    <t>Final storage layout to clinical-user approval.</t>
  </si>
  <si>
    <t>Subtotal - G - Sanitary / Fixed Architectural Fittings</t>
  </si>
  <si>
    <t>H - Completion / Handover</t>
  </si>
  <si>
    <t>H</t>
  </si>
  <si>
    <t>H1</t>
  </si>
  <si>
    <t>Civil/architectural testing and inspections including substrate moisture checks, adhesion/finish checks, door operation checks and defect/punch-list close-out.</t>
  </si>
  <si>
    <t>PS-H1</t>
  </si>
  <si>
    <t>Handover requirement</t>
  </si>
  <si>
    <t>Specialist OT commissioning/validation remains in unchanged Modular OT BOQ.</t>
  </si>
  <si>
    <t>H2</t>
  </si>
  <si>
    <t>Final builders' deep clean and terminal construction clean of non-OT renovation areas prior to clinical reoccupation, including dust removal from ledges/ceiling zones.</t>
  </si>
  <si>
    <t>PS-H2</t>
  </si>
  <si>
    <t>Hospital infection-control requirement</t>
  </si>
  <si>
    <t>Environmental/OT cleanroom validation excluded.</t>
  </si>
  <si>
    <t>H3</t>
  </si>
  <si>
    <t>As-built drawings, material data, warranties, cleaning/maintenance information and civil/architectural handover records for added works.</t>
  </si>
  <si>
    <t>PS-H3</t>
  </si>
  <si>
    <t>Deliverables</t>
  </si>
  <si>
    <t>Coordinate with overall Contractor's Documents.</t>
  </si>
  <si>
    <t>Subtotal - H - Completion / Handover</t>
  </si>
  <si>
    <t>I - Existing Equipment Relocation &amp; MEP Service Strip-out</t>
  </si>
  <si>
    <t>I</t>
  </si>
  <si>
    <t>I1</t>
  </si>
  <si>
    <t>Prepare a room-by-room inventory, identification/tagging and photographic condition record of existing medical equipment, furniture and retained fixtures; agree relocation/storage destinations and sequence with the Employer/Engineer before dismantling.</t>
  </si>
  <si>
    <t>PS-I1</t>
  </si>
  <si>
    <t>Site photographs / existing occupied clinical rooms</t>
  </si>
  <si>
    <t>Include labelling, relocation register and handover/receipt record for items moved.</t>
  </si>
  <si>
    <t>I2</t>
  </si>
  <si>
    <t>Carefully dismantle, lift, move and relocate loose or semi-fixed hospital furniture, trolleys, cabinets, tables, chairs and non-specialist equipment to temporary or permanent locations within the hospital/site as directed, including protection during handling and stacking.</t>
  </si>
  <si>
    <t>PS-I2</t>
  </si>
  <si>
    <t>Site photographs / Employer direction</t>
  </si>
  <si>
    <t>Excludes OEM/biomedical decommissioning, calibration and recommissioning of specialist medical equipment.</t>
  </si>
  <si>
    <t>I3</t>
  </si>
  <si>
    <t>Specialist attendance for safe disconnection, dismantling, relocation and reinstallation of fixed/sensitive medical equipment and ceiling/wall-mounted clinical equipment where directed, including biomedical/OEM coordination, temporary protection and functional handover.</t>
  </si>
  <si>
    <t>PS</t>
  </si>
  <si>
    <t>Engineer PS / provisional sum</t>
  </si>
  <si>
    <t>PS-I3</t>
  </si>
  <si>
    <t>Site photographs / existing theatre &amp; clinical equipment</t>
  </si>
  <si>
    <t>Use only on written instruction. Replacement equipment and major overhaul excluded; actual vendor/biomedical costs to be substantiated.</t>
  </si>
  <si>
    <t>I4</t>
  </si>
  <si>
    <t>Isolate, identify and remove redundant electrical and ELV service lines affected by the renovation, including cables, conduits, trunking, cable trays, small distribution accessories, abandoned wiring and supports; make safe and cap/terminate retained circuits as directed.</t>
  </si>
  <si>
    <t>PS-I4</t>
  </si>
  <si>
    <t>Existing exposed/concealed MEP services / demolition coordination</t>
  </si>
  <si>
    <t>Final isolation and testing by licensed electrical personnel. New electrical/ELV installation is excluded except where already in the unchanged Modular OT package.</t>
  </si>
  <si>
    <t>I5</t>
  </si>
  <si>
    <t>Remove redundant HVAC service lines and air-distribution components affected by the renovation, including sheet-metal/flexible duct branches, grilles, diffusers, dampers, insulation, hangers and supports; blank/cap retained branches and protect live systems.</t>
  </si>
  <si>
    <t>PS-I5</t>
  </si>
  <si>
    <t>Site photographs showing extensive overhead ductwork / ceiling strip-out</t>
  </si>
  <si>
    <t>AHUs, major plant and new HVAC installation excluded unless separately instructed or included in the unchanged Modular OT package.</t>
  </si>
  <si>
    <t>I6</t>
  </si>
  <si>
    <t>Remove redundant plumbing, water-supply and drainage service lines affected by the renovation, including small-bore pipework, traps, valves, brackets and supports; drain down, cap retained branches and temporarily seal drainage openings.</t>
  </si>
  <si>
    <t>PS-I6</t>
  </si>
  <si>
    <t>Wet areas / equipment washing / existing services</t>
  </si>
  <si>
    <t>New distribution pipework, sanitary drainage mains and fixture connections excluded except where separately measured.</t>
  </si>
  <si>
    <t>I7</t>
  </si>
  <si>
    <t>Remove or reroute redundant medical-gas service lines only where specifically instructed, including isolation, purging, cutting/removal, certified capping of retained branches, identification and pressure/leak testing by an approved medical-gas specialist.</t>
  </si>
  <si>
    <t>Engineer PS / specialist allowance</t>
  </si>
  <si>
    <t>PS-I7</t>
  </si>
  <si>
    <t>Existing theatre/clinical services / Employer direction</t>
  </si>
  <si>
    <t>No medical-gas work without approved permit-to-work and medical-gas specialist. New medical-gas distribution remains outside this added civil estimate unless included in the unchanged Modular OT package.</t>
  </si>
  <si>
    <t>Subtotal - I - Existing Equipment Relocation &amp; MEP Service Strip-out</t>
  </si>
  <si>
    <t>DIRECT ADDED RENOVATION WORKS SUBTOTAL</t>
  </si>
  <si>
    <t>PRELIMINARY QUANTITY TAKEOFF &amp; ASSUMPTIONS - ADDED RENOVATION WORKS</t>
  </si>
  <si>
    <t>Ref</t>
  </si>
  <si>
    <t>Parameter / Quantity</t>
  </si>
  <si>
    <t>Preliminary Value</t>
  </si>
  <si>
    <t>Basis / Calculation</t>
  </si>
  <si>
    <t>Drawing / Source</t>
  </si>
  <si>
    <t>Action before Tender</t>
  </si>
  <si>
    <t>T01</t>
  </si>
  <si>
    <t>OT1 area</t>
  </si>
  <si>
    <t>7.628 x 5.690</t>
  </si>
  <si>
    <t>Modular source measurement / Room layout</t>
  </si>
  <si>
    <t>Verify by measured survey</t>
  </si>
  <si>
    <t>T02</t>
  </si>
  <si>
    <t>OT2 area</t>
  </si>
  <si>
    <t>6.675 x 4.730</t>
  </si>
  <si>
    <t>T03</t>
  </si>
  <si>
    <t>OT3 area</t>
  </si>
  <si>
    <t>7.220 x 8.520</t>
  </si>
  <si>
    <t>T04</t>
  </si>
  <si>
    <t>OT4 area</t>
  </si>
  <si>
    <t>6.340 x 8.110</t>
  </si>
  <si>
    <t>T05</t>
  </si>
  <si>
    <t>Total four OT floor area</t>
  </si>
  <si>
    <t>T01+T02+T03+T04</t>
  </si>
  <si>
    <t>Modular source measurement</t>
  </si>
  <si>
    <t>Do not alter Modular OT BOQ quantity basis</t>
  </si>
  <si>
    <t>T06</t>
  </si>
  <si>
    <t>Total scrub area</t>
  </si>
  <si>
    <t>RN-03 + RN-06 + RN-08</t>
  </si>
  <si>
    <t>T07</t>
  </si>
  <si>
    <t>OT + scrub area used for preparatory substrate allowance</t>
  </si>
  <si>
    <t>T05+T06</t>
  </si>
  <si>
    <t>Modular source workbook</t>
  </si>
  <si>
    <t>Local patch/grind only; specialist flooring excluded</t>
  </si>
  <si>
    <t>T08</t>
  </si>
  <si>
    <t>Approx. gross internal renovation floor area</t>
  </si>
  <si>
    <t>Drawing-scale/design allowance</t>
  </si>
  <si>
    <t>Drawings 004/007/011</t>
  </si>
  <si>
    <t>Obtain full measured floor-area schedule</t>
  </si>
  <si>
    <t>T09</t>
  </si>
  <si>
    <t>Approx. non-modular floor area</t>
  </si>
  <si>
    <t>T08 - T07</t>
  </si>
  <si>
    <t>Derived</t>
  </si>
  <si>
    <t>Split by room finish schedule before tender</t>
  </si>
  <si>
    <t>T10</t>
  </si>
  <si>
    <t>Floor finish strip-out allowance</t>
  </si>
  <si>
    <t>Most renovated floor area, excluding small retained zones</t>
  </si>
  <si>
    <t>Drawing 006 + renovation allowance</t>
  </si>
  <si>
    <t>Joint measure before demolition</t>
  </si>
  <si>
    <t>T11</t>
  </si>
  <si>
    <t>Ceiling strip-out allowance</t>
  </si>
  <si>
    <t>Approx. renovation ceiling extent</t>
  </si>
  <si>
    <t>Drawing 009</t>
  </si>
  <si>
    <t>Survey ceiling/MEP conditions</t>
  </si>
  <si>
    <t>T12</t>
  </si>
  <si>
    <t>100 mm new block partition projected area</t>
  </si>
  <si>
    <t>Preliminary wall takeoff</t>
  </si>
  <si>
    <t>Drawing 007 cyan new construction</t>
  </si>
  <si>
    <t>Measure wall lengths by thickness and height</t>
  </si>
  <si>
    <t>T13</t>
  </si>
  <si>
    <t>150 mm new block partition projected area</t>
  </si>
  <si>
    <t>Drawing 007</t>
  </si>
  <si>
    <t>Confirm wall thickness/detail</t>
  </si>
  <si>
    <t>T14</t>
  </si>
  <si>
    <t>New wall plaster area both faces</t>
  </si>
  <si>
    <t>2 x (T12+T13) less opening allowance offset by reveals</t>
  </si>
  <si>
    <t>Prepare room-by-room wall finish takeoff</t>
  </si>
  <si>
    <t>T15</t>
  </si>
  <si>
    <t>Door tags visible on door layout</t>
  </si>
  <si>
    <t>Text/tag count from DGHM-P2-A-008</t>
  </si>
  <si>
    <t>Drawing 008</t>
  </si>
  <si>
    <t>Confirm against final door schedule</t>
  </si>
  <si>
    <t>T16</t>
  </si>
  <si>
    <t>Hermetic OT doors already in unchanged Modular OT BOQ</t>
  </si>
  <si>
    <t>4 automatic sliding + 4 rear swing</t>
  </si>
  <si>
    <t>Modular OT source workbook</t>
  </si>
  <si>
    <t>No double-counting</t>
  </si>
  <si>
    <t>T17</t>
  </si>
  <si>
    <t>Non-modular door allowance</t>
  </si>
  <si>
    <t>T15 - T16</t>
  </si>
  <si>
    <t>Split by door type/fire/acoustic/vision requirements</t>
  </si>
  <si>
    <t>T18</t>
  </si>
  <si>
    <t>Clinical non-conductive vinyl allowance outside modular OT scope</t>
  </si>
  <si>
    <t>Recovery/sterile/semi-clean/support zones</t>
  </si>
  <si>
    <t>Room functions / Employer Requirements</t>
  </si>
  <si>
    <t>Finalize room finish schedule</t>
  </si>
  <si>
    <t>T19</t>
  </si>
  <si>
    <t>General ceramic floor allowance</t>
  </si>
  <si>
    <t>Staff/public/general support rooms</t>
  </si>
  <si>
    <t>Room functions</t>
  </si>
  <si>
    <t>T20</t>
  </si>
  <si>
    <t>Non-slip ceramic wet-area floor allowance</t>
  </si>
  <si>
    <t>Accessible toilet/changing/equipment washing</t>
  </si>
  <si>
    <t>Finalize sanitary/wet-area plans</t>
  </si>
  <si>
    <t>T21</t>
  </si>
  <si>
    <t>Mineral fibre / cleanable ceiling allowance</t>
  </si>
  <si>
    <t>Most non-OT areas</t>
  </si>
  <si>
    <t>Drawing 009 / room functions</t>
  </si>
  <si>
    <t>Coordinate MEP access and cleanability</t>
  </si>
  <si>
    <t>T22</t>
  </si>
  <si>
    <t>Moisture-resistant gypsum ceiling allowance</t>
  </si>
  <si>
    <t>Wet/service rooms</t>
  </si>
  <si>
    <t>Confirm exact room extents</t>
  </si>
  <si>
    <t>T23</t>
  </si>
  <si>
    <t>Wall/trolley guard allowance</t>
  </si>
  <si>
    <t>Main trolley routes</t>
  </si>
  <si>
    <t>Drawing 010</t>
  </si>
  <si>
    <t>Measure from final elevations</t>
  </si>
  <si>
    <t>T24</t>
  </si>
  <si>
    <t>Corner guard allowance</t>
  </si>
  <si>
    <t>Exposed wall/column corners</t>
  </si>
  <si>
    <t>Confirm final count</t>
  </si>
  <si>
    <t>T25</t>
  </si>
  <si>
    <t>Existing equipment/furniture relocation</t>
  </si>
  <si>
    <t>Provisional allowance based on site photographs; final room-by-room inventory and relocation destinations to be agreed before work.</t>
  </si>
  <si>
    <t>Prepare tagged inventory; identify items requiring biomedical/OEM attendance.</t>
  </si>
  <si>
    <t>T26</t>
  </si>
  <si>
    <t>Existing redundant MEP service strip-out</t>
  </si>
  <si>
    <t>Provisional multi-trade allowance for electrical/ELV, HVAC, plumbing/drainage and medical-gas lines affected by renovation.</t>
  </si>
  <si>
    <t>Site photographs / demolition coordination</t>
  </si>
  <si>
    <t>Undertake detailed service survey and isolation plan before demolition; measure major plant separately if encountered.</t>
  </si>
  <si>
    <t>CORE QUALIFICATIONS</t>
  </si>
  <si>
    <t>1</t>
  </si>
  <si>
    <t>All new quantities are preliminary allowances derived from visible drawing dimensions, room functions and scaled plan interpretation. They are not a substitute for a measured survey.</t>
  </si>
  <si>
    <t>2</t>
  </si>
  <si>
    <t>The existing beam layout is used as a structural control: do not remove or cut structural beams/columns/slabs without the Structural Engineer's written approval.</t>
  </si>
  <si>
    <t>3</t>
  </si>
  <si>
    <t>Load-bearing masonry demolition is intentionally set to zero. If later required, measure masonry separately and price temporary works/propping/needling to the approved method.</t>
  </si>
  <si>
    <t>4</t>
  </si>
  <si>
    <t>The unchanged Modular OT package already includes modular walls/ceilings, conductive flooring, hermetic OT doors, OT fixed fittings, LAF/HVAC package, electrical/medical-gas interfaces and validation as scheduled. Added works avoid intentional duplication.</t>
  </si>
  <si>
    <t>5</t>
  </si>
  <si>
    <t>The unchanged Site Works BOQ remains exactly as supplied and is reproduced in the 'Site Works - Unchanged' sheet.</t>
  </si>
  <si>
    <t>6</t>
  </si>
  <si>
    <t>New building electrical, ELV, plumbing, medical-gas distribution and HVAC installations outside the unchanged Modular OT package remain excluded except for builders-work interfaces. Removal/strip-out of redundant existing service lines and associated safe isolation/capping are included under Section I of the Added Renovation BOQ.</t>
  </si>
  <si>
    <t>RATE REGISTER &amp; PRICING BASIS - ADDED RENOVATION WORKS</t>
  </si>
  <si>
    <t>Description / Application</t>
  </si>
  <si>
    <t>Base / Source Rate</t>
  </si>
  <si>
    <t>Markup</t>
  </si>
  <si>
    <t>Applied Rate (LKR)</t>
  </si>
  <si>
    <t>Source / Page</t>
  </si>
  <si>
    <t>Source URL / File</t>
  </si>
  <si>
    <t>Qualification</t>
  </si>
  <si>
    <t>Remove &amp; stack aluminium door/window with frame and make good</t>
  </si>
  <si>
    <t>DM 4/4</t>
  </si>
  <si>
    <t>https://www.cs.sp.gov.lk/css/csw/rates/bsr_matara_2026.pdf</t>
  </si>
  <si>
    <t>Direct BSR; measure overall area.</t>
  </si>
  <si>
    <t>Carefully remove aluminium partitions at joints for reuse/stack</t>
  </si>
  <si>
    <t>Used as closest rate for aluminium glazed partition/curtain wall removal.</t>
  </si>
  <si>
    <t>Demolish brickwork in cement and clear debris</t>
  </si>
  <si>
    <t>DM 1/4</t>
  </si>
  <si>
    <t>Does not include engineered shoring/needling.</t>
  </si>
  <si>
    <t>Demolish tiles with tile bed</t>
  </si>
  <si>
    <t>DM 1/4-2/4</t>
  </si>
  <si>
    <t>Applied to floor finish strip-out.</t>
  </si>
  <si>
    <t>Dispose debris by tractor trailer up to 3 km</t>
  </si>
  <si>
    <t>Existing unchanged Site BOQ BSR</t>
  </si>
  <si>
    <t>Matara_OT_Site_Works_Landscaping_BOQ(1).xlsx</t>
  </si>
  <si>
    <t>Reused only as disposal benchmark; source Site BOQ itself remains unchanged.</t>
  </si>
  <si>
    <t>Grade 25 concrete; reinforcement/formwork separate</t>
  </si>
  <si>
    <t>CT 8/11</t>
  </si>
  <si>
    <t>Generic Grade 25 rate for local concrete.</t>
  </si>
  <si>
    <t>Reinforcement cut/bend/fix</t>
  </si>
  <si>
    <t>RF 1/1</t>
  </si>
  <si>
    <t>Split by level/grade when final details are issued.</t>
  </si>
  <si>
    <t>Plywood formwork to beam sides/soffits</t>
  </si>
  <si>
    <t>FW 7/8</t>
  </si>
  <si>
    <t>Budget proxy for local formwork categories.</t>
  </si>
  <si>
    <t>Derived reinforced Grade 25 precast lintel 100x150 mm</t>
  </si>
  <si>
    <t>CT44 + RF02</t>
  </si>
  <si>
    <t>Budgetary; final bar schedule/bearing length to structural details.</t>
  </si>
  <si>
    <t>Derived reinforced Grade 25 precast lintel 150x150 mm</t>
  </si>
  <si>
    <t>Budgetary derived rate.</t>
  </si>
  <si>
    <t>100 mm cement solid block wall in 1:5 mortar</t>
  </si>
  <si>
    <t>CB 1/1</t>
  </si>
  <si>
    <t>Non-load-bearing.</t>
  </si>
  <si>
    <t>150 mm cement block wall derived from CB01 x1.50</t>
  </si>
  <si>
    <t>CB01 x 1.50</t>
  </si>
  <si>
    <t>Obtain approval before final tender use.</t>
  </si>
  <si>
    <t>225 mm brickwork in 1:5 mortar, ground floor</t>
  </si>
  <si>
    <t>BK 1/4</t>
  </si>
  <si>
    <t>Direct ground-floor rate.</t>
  </si>
  <si>
    <t>16 mm wall plaster plus two-stage skim/filler finish</t>
  </si>
  <si>
    <t>PL01 + PT31 + PT30</t>
  </si>
  <si>
    <t>Composite derived rate.</t>
  </si>
  <si>
    <t>10 mm 1:3 plaster to RCC soffits/beams/columns</t>
  </si>
  <si>
    <t>PL 1/4</t>
  </si>
  <si>
    <t>Qualified for local repair work.</t>
  </si>
  <si>
    <t>T1.9.1.1-G</t>
  </si>
  <si>
    <t>600x600 glazed ceramic floor tile incl. 20 mm screed</t>
  </si>
  <si>
    <t>NWSDB Rate Book 2025 + 27%</t>
  </si>
  <si>
    <t>BU/12 p.102</t>
  </si>
  <si>
    <t>Uploaded RB 2025 Vol I (1).pdf</t>
  </si>
  <si>
    <t>Indian/Chinese benchmark; final approved tile may differ.</t>
  </si>
  <si>
    <t>T1.9.1.1-M</t>
  </si>
  <si>
    <t>600x600 homogeneous matt ceramic tile incl. screed</t>
  </si>
  <si>
    <t>BU/12 p.103</t>
  </si>
  <si>
    <t>Used as non-slip/wet-area benchmark.</t>
  </si>
  <si>
    <t>300x600 glazed ceramic wall tiles incl. bedding/grout</t>
  </si>
  <si>
    <t>BU/12 p.105</t>
  </si>
  <si>
    <t>Indian/Chinese wall tile benchmark.</t>
  </si>
  <si>
    <t>T2.14.2-MF</t>
  </si>
  <si>
    <t>High-quality mineral fibre horizontal ceiling</t>
  </si>
  <si>
    <t>Use healthcare-suitable cleanable product.</t>
  </si>
  <si>
    <t>T2.14.2-GYP</t>
  </si>
  <si>
    <t>Gypsum board horizontal ceiling</t>
  </si>
  <si>
    <t>Moisture-resistant requirement is a qualified upgrade.</t>
  </si>
  <si>
    <t>V.1.1.1.1-W</t>
  </si>
  <si>
    <t>Internal wall emulsion: filler + two coats</t>
  </si>
  <si>
    <t>BU/14 p.107</t>
  </si>
  <si>
    <t>Washable/low-VOC healthcare grade to be approved.</t>
  </si>
  <si>
    <t>V.1.1.1.1-S</t>
  </si>
  <si>
    <t>Soffits/slabs/beams emulsion: filler + two coats</t>
  </si>
  <si>
    <t>Ground-floor benchmark.</t>
  </si>
  <si>
    <t>MOD-R2</t>
  </si>
  <si>
    <t>Clinical vinyl floor budget benchmark</t>
  </si>
  <si>
    <t>Existing Modular OT market benchmark</t>
  </si>
  <si>
    <t>Rate Basis R2 / scrub application</t>
  </si>
  <si>
    <t>F-Matara_Modular_OT_BOQ_Market_Prices.xlsx</t>
  </si>
  <si>
    <t>Applied only outside specialist modular scope; obtain written supplier quote.</t>
  </si>
  <si>
    <t>Engineer provisional sums / market allowances</t>
  </si>
  <si>
    <t>Various</t>
  </si>
  <si>
    <t>See BOQ item</t>
  </si>
  <si>
    <t>N/A</t>
  </si>
  <si>
    <t>Replace with approved quotation/rate analysis before tender where material to total.</t>
  </si>
  <si>
    <t>Existing equipment inventory/tagging and relocation schedule</t>
  </si>
  <si>
    <t>Section I</t>
  </si>
  <si>
    <t>Replace with agreed method/resource build-up if required.</t>
  </si>
  <si>
    <t>Relocation of loose/semi-fixed hospital furniture and non-specialist equipment</t>
  </si>
  <si>
    <t>Provisional handling/protection allowance; final scope by inventory.</t>
  </si>
  <si>
    <t>Specialist biomedical/OEM attendance for sensitive/fixed medical equipment relocation</t>
  </si>
  <si>
    <t>Site photographs</t>
  </si>
  <si>
    <t>Expenditure only on written instruction and supported by quotations/invoices.</t>
  </si>
  <si>
    <t>Redundant electrical and ELV service-line strip-out</t>
  </si>
  <si>
    <t>Existing MEP / demolition coordination</t>
  </si>
  <si>
    <t>Safe isolation/testing by licensed personnel; new installation excluded.</t>
  </si>
  <si>
    <t>Redundant HVAC duct/air-distribution service-line strip-out</t>
  </si>
  <si>
    <t>Site photographs / ceiling zones</t>
  </si>
  <si>
    <t>Major plant excluded unless separately instructed.</t>
  </si>
  <si>
    <t>Redundant plumbing/water/drainage service-line strip-out</t>
  </si>
  <si>
    <t>Wet areas / existing services</t>
  </si>
  <si>
    <t>Includes drain down, capping and temporary seals only.</t>
  </si>
  <si>
    <t>Medical-gas line isolation/removal/capping/testing by approved specialist</t>
  </si>
  <si>
    <t>Existing clinical services</t>
  </si>
  <si>
    <t>Permit-to-work, purge and certification mandatory.</t>
  </si>
  <si>
    <t>PRELIMINARY BOQ &amp; ENGINEER'S ESTIMATE - SITE WORKS / LANDSCAPING</t>
  </si>
  <si>
    <t>Source status</t>
  </si>
  <si>
    <t>UNCHANGED reproduction</t>
  </si>
  <si>
    <t>Improvement of MEP Services and Renovation of Theater Complex - Periphery Site Works</t>
  </si>
  <si>
    <t>Source file</t>
  </si>
  <si>
    <t>Preliminary quantity takeoff from the 1:200 development-boundary plan and site photographs. Final BOQ quantities shall be remeasured after topographic levels, demolition survey and approved landscape layout.</t>
  </si>
  <si>
    <t>Source total (LKR)</t>
  </si>
  <si>
    <t>Instruction</t>
  </si>
  <si>
    <t>Do not modify source site-work scope/rates/quantities in this consolidated estimate.</t>
  </si>
  <si>
    <t>Item</t>
  </si>
  <si>
    <t>BSR / Basis</t>
  </si>
  <si>
    <t>Drawing/Photo Basis</t>
  </si>
  <si>
    <t>Inclusion / Qualification</t>
  </si>
  <si>
    <t>Remarks</t>
  </si>
  <si>
    <t>A. Preliminaries</t>
  </si>
  <si>
    <t>Protection to live hospital, barricading, dust/noise control, temporary access and housekeeping</t>
  </si>
  <si>
    <t>Site condition</t>
  </si>
  <si>
    <t>Complete for external works adjoining occupied hospital</t>
  </si>
  <si>
    <t>Setting out, levels and site survey for external works</t>
  </si>
  <si>
    <t>Site plan 1:200</t>
  </si>
  <si>
    <t>Establish final grading and drain falls</t>
  </si>
  <si>
    <t>Subtotal - A. Preliminaries</t>
  </si>
  <si>
    <t>B. Clearance &amp; Demolition</t>
  </si>
  <si>
    <t>Clear site vegetation, bushes, shrubs and rubbish</t>
  </si>
  <si>
    <t>B01</t>
  </si>
  <si>
    <t>Scaled plan + photos</t>
  </si>
  <si>
    <t>Entire preliminary external site-work area</t>
  </si>
  <si>
    <t>Remove banana/small trees including roots</t>
  </si>
  <si>
    <t>Site photos</t>
  </si>
  <si>
    <t>Large mature trees excluded</t>
  </si>
  <si>
    <t>Demolish existing RCC canopy / covered walkway and supports</t>
  </si>
  <si>
    <t>Z01 proxy</t>
  </si>
  <si>
    <t>BSR proxy</t>
  </si>
  <si>
    <t>Site photo</t>
  </si>
  <si>
    <t>Selective demolition only where conflicting with works</t>
  </si>
  <si>
    <t>Remove existing corrugated lean-to / roof and light frame</t>
  </si>
  <si>
    <t>Z28 proxy</t>
  </si>
  <si>
    <t>Material survey required; ACM, if present, by approved specialist method</t>
  </si>
  <si>
    <t>Break out existing concrete hardstanding, assumed 100mm average thickness</t>
  </si>
  <si>
    <t>Z02</t>
  </si>
  <si>
    <t>Photo provisional</t>
  </si>
  <si>
    <t>Quantity derived from 80m² x 0.10m average</t>
  </si>
  <si>
    <t>Demolish existing drain sections where replacement is required</t>
  </si>
  <si>
    <t>Z10</t>
  </si>
  <si>
    <t>Condition allowance</t>
  </si>
  <si>
    <t>Only defective/conflicting sections</t>
  </si>
  <si>
    <t>Dispose demolition/clearance debris by tractor trailer, up to 3km</t>
  </si>
  <si>
    <t>Provisional</t>
  </si>
  <si>
    <t>Approved disposal point to be confirmed</t>
  </si>
  <si>
    <t>Subtotal - B. Clearance &amp; Demolition</t>
  </si>
  <si>
    <t>C. Earthworks &amp; Grading</t>
  </si>
  <si>
    <t>Supply approved earth for filling/regrading</t>
  </si>
  <si>
    <t>B26</t>
  </si>
  <si>
    <t>Provisional levels</t>
  </si>
  <si>
    <t>Final from level survey</t>
  </si>
  <si>
    <t>Spread, level, water and compact approved earth</t>
  </si>
  <si>
    <t>B32</t>
  </si>
  <si>
    <t>To falls away from building and toward drains</t>
  </si>
  <si>
    <t>Subtotal - C. Earthworks &amp; Grading</t>
  </si>
  <si>
    <t>Repair</t>
  </si>
  <si>
    <t>D. Surface Drainage</t>
  </si>
  <si>
    <t>Clean, desilt and flush existing perimeter drains</t>
  </si>
  <si>
    <t>Green drain alignment</t>
  </si>
  <si>
    <t>Protect connections and maintain drainage during works</t>
  </si>
  <si>
    <t>Repair / construct small concrete drains</t>
  </si>
  <si>
    <t>C23 proxy</t>
  </si>
  <si>
    <t>Final section/cover details to be coordinated</t>
  </si>
  <si>
    <t>Manual Excavation for column, surface drainage in hard dense soil (except rock requiring blasting) up to 5'-0" depth, part return fill in and ram and surplus deposited within site as directed. (Transport of material to be paid seperately)</t>
  </si>
  <si>
    <t>Cement concrete 1:3:6 (1") laid to a thickness of 2" under Drainage, including placing in position,compacting.</t>
  </si>
  <si>
    <t xml:space="preserve"> Grade 25 concrete in foundation, wall  in Drain construction</t>
  </si>
  <si>
    <t>Tor steel reinforcement to base, wall and cover of surface drainage work  etc.. bent to shape, laid in position and tied with 16 B.W.G. Aneal binding wire in second floor. (Laps should be measured as per the drawings ).</t>
  </si>
  <si>
    <t>formwork</t>
  </si>
  <si>
    <t>Subtotal - D. Surface Drainage</t>
  </si>
  <si>
    <t>E. Hard Landscape</t>
  </si>
  <si>
    <t>60mm coloured interlocking paving blocks to pedestrian/service areas</t>
  </si>
  <si>
    <t>AA26</t>
  </si>
  <si>
    <t>Design allocation</t>
  </si>
  <si>
    <t>Existing road and connecting corridors excluded</t>
  </si>
  <si>
    <t>Precast concrete curb / edging</t>
  </si>
  <si>
    <t>AA31</t>
  </si>
  <si>
    <t>At turf/paving and landscape edges</t>
  </si>
  <si>
    <t>Subtotal - E. Hard Landscape</t>
  </si>
  <si>
    <t>F. Soft Landscape</t>
  </si>
  <si>
    <t>Prepare turf area with 150mm top vegetable soil / coir mixture</t>
  </si>
  <si>
    <t>AA01</t>
  </si>
  <si>
    <t>Includes root/gravel removal and final grading</t>
  </si>
  <si>
    <t>Supply and lay buffalo grass turf</t>
  </si>
  <si>
    <t>AA02</t>
  </si>
  <si>
    <t>Includes establishment maintenance stated in BSR</t>
  </si>
  <si>
    <t>Prepare ornamental planting beds incl. topsoil, compost, cultivation and mulch</t>
  </si>
  <si>
    <t>Final landscape plan required</t>
  </si>
  <si>
    <t>Supply and plant approved shrubs / groundcovers</t>
  </si>
  <si>
    <t>Low-maintenance species suited to hospital environment</t>
  </si>
  <si>
    <t>Supply and plant approved ornamental palms / small trees</t>
  </si>
  <si>
    <t>AA12 proxy</t>
  </si>
  <si>
    <t>Foxtail Palm BSR rate used as proxy; final species to be approved</t>
  </si>
  <si>
    <t>Landscape establishment / maintenance labour</t>
  </si>
  <si>
    <t>AA07</t>
  </si>
  <si>
    <t>Month</t>
  </si>
  <si>
    <t>Landscape allowance</t>
  </si>
  <si>
    <t>Subject to Engineer approval; avoid duplicate payment where included in turf item</t>
  </si>
  <si>
    <t>Subtotal - F. Soft Landscape</t>
  </si>
  <si>
    <t>G. External Interfaces</t>
  </si>
  <si>
    <t>Landscape watering points / hose bibs and minor distribution pipework</t>
  </si>
  <si>
    <t>Site requirement</t>
  </si>
  <si>
    <t>Coordinate with plumbing/water supply</t>
  </si>
  <si>
    <t>Making good interfaces to road, connecting corridors, walls and disturbed surfaces</t>
  </si>
  <si>
    <t>User boundary instruction</t>
  </si>
  <si>
    <t>No reconstruction of existing road/corridor except local making good</t>
  </si>
  <si>
    <t>Subtotal - G. External Interfaces</t>
  </si>
  <si>
    <t>DIRECT SITE WORKS SUBTOTAL</t>
  </si>
  <si>
    <t>Scope / technical basis</t>
  </si>
  <si>
    <t>Quantity</t>
  </si>
  <si>
    <t>Market Rate (LKR)</t>
  </si>
  <si>
    <t>Rate basis</t>
  </si>
  <si>
    <t>Source URL / note</t>
  </si>
  <si>
    <t>A - Modular envelope</t>
  </si>
  <si>
    <t>Modular OT wall panels with support frame and sealed joints</t>
  </si>
  <si>
    <t>Hygienic antibacterial coated 1.2mm metal/SS304 or approved equivalent; includes sub-frame, sealant and flush service coordination</t>
  </si>
  <si>
    <t>Direct market benchmark: modular OT wall panel INR 900/sq.ft converted and uplifted for import/local installation</t>
  </si>
  <si>
    <t>https://www.vkcleanrooms.co.in/modular-operation-theater.html</t>
  </si>
  <si>
    <t>Airtight modular ceiling panels with support frame</t>
  </si>
  <si>
    <t>Hygienic removable/accessible sealed ceiling panels coordinated with LAF, lights and pendants</t>
  </si>
  <si>
    <t>Applied same benchmark as modular OT panel with ceiling subframe/access uplift</t>
  </si>
  <si>
    <t>Scrub area wall panels and support frame</t>
  </si>
  <si>
    <t>Associated RN-03/RN-06/RN-08 scrub rooms; same hygienic panel system, subject to confirmation</t>
  </si>
  <si>
    <t>Budget rate derived from modular panel benchmark, lower complexity than OT rooms</t>
  </si>
  <si>
    <t>Scrub area ceiling panels</t>
  </si>
  <si>
    <t>Associated scrub-room hygienic ceilings</t>
  </si>
  <si>
    <t>Budget rate derived from modular panel benchmark</t>
  </si>
  <si>
    <t>2mm conductive / anti-static vinyl flooring to OT rooms</t>
  </si>
  <si>
    <t>Self levelling screed, copper grid, conductive adhesive, heat welding and 100mm coved skirting interface</t>
  </si>
  <si>
    <t>Market benchmark INR 95/sq.ft anti-static vinyl plus adhesive, screed, copper grid and installation uplift</t>
  </si>
  <si>
    <t>https://www.tradeindia.com/products/hospital-vinyl-flooring-anti-static-homogeneous-conductive-vinyl-flooring-i-c8716784.html</t>
  </si>
  <si>
    <t>Clinical vinyl flooring to scrub areas</t>
  </si>
  <si>
    <t>Same installed flooring standard, non-slip/cleanable with coving</t>
  </si>
  <si>
    <t>Derived from anti-static vinyl benchmark with lower copper-grid allowance</t>
  </si>
  <si>
    <t>Coved skirting, internal coves, trims, sealants and penetration finishing</t>
  </si>
  <si>
    <t>Allowance for additional coving/trim around corners, columns, doors, and service penetrations</t>
  </si>
  <si>
    <t>Budget allowance based on measured perimeter and detailed trim complexity</t>
  </si>
  <si>
    <t>Measured allowance</t>
  </si>
  <si>
    <t>Secondary steel/support framework for LAF, surgical lights, pendants and ceiling equipment</t>
  </si>
  <si>
    <t>Independent support frames, anchor bolts, coordination and load certification; excludes major structural strengthening</t>
  </si>
  <si>
    <t>No</t>
  </si>
  <si>
    <t>Budget allowance; final rate to follow structural design and load calculations</t>
  </si>
  <si>
    <t>B - Doors &amp; dampers</t>
  </si>
  <si>
    <t>Automatic hermetically sealed theatre door 1500x2100x50mm</t>
  </si>
  <si>
    <t>Japan/equivalent machine set, touchless switches x2, sensors, manual release and trolley protection</t>
  </si>
  <si>
    <t>Market benchmark: hermetic OT sliding door INR 185,000-268,000 plus import/local installation uplift</t>
  </si>
  <si>
    <t>https://www.hospitaldoors.in/operation-theater-doors.html</t>
  </si>
  <si>
    <t>Hermetic single swing/rear theatre door 1500x2100x50mm</t>
  </si>
  <si>
    <t>Hygienic door leaf/frame with vision panel, seals and hardware</t>
  </si>
  <si>
    <t>Budget rate benchmarked from hermetic hospital door market listings</t>
  </si>
  <si>
    <t>https://www.hospitaldoors.in/hermetic-doors.html</t>
  </si>
  <si>
    <t>Hermatic double swing door to scrub Area</t>
  </si>
  <si>
    <t>Pressure relief damper SS 350x140mm</t>
  </si>
  <si>
    <t>Stainless steel pressure relief damper, balancing and cleanable grille</t>
  </si>
  <si>
    <t>Market sources range from INR 12,000 to INR 84,900; selected mid budget installed rate</t>
  </si>
  <si>
    <t>https://www.jkenggindia.com/operation-theater-equipment.html</t>
  </si>
  <si>
    <t>Pass-through hatch box 600x600x600mm</t>
  </si>
  <si>
    <t>SS304 manual pass-through window with UV light and interlock where required</t>
  </si>
  <si>
    <t>Budgetary market allowance; exact rate depends on interlock/UV/control specification</t>
  </si>
  <si>
    <t>Air return inlet / fluff separator with filter</t>
  </si>
  <si>
    <t>Flush SS304 air return inlet, removable filter/fluff separator and volume damper</t>
  </si>
  <si>
    <t>Budgetary rate derived from pressure damper/fluff separator components</t>
  </si>
  <si>
    <t>C - Fixed OT fittings</t>
  </si>
  <si>
    <t>Three-bay scrub sink with sensor/knee controls</t>
  </si>
  <si>
    <t>SS316 body/SS304 casing, infrared taps, soap dispensers, drainage connections</t>
  </si>
  <si>
    <t>Scrub sink market range INR 30,000-100,000; uplift for 3-bay SS316/sensor/local install</t>
  </si>
  <si>
    <t>https://www.tradeindia.com/products/stainless-steel-304-surgical-scrub-sink-6937771.html</t>
  </si>
  <si>
    <t>LED backlight X-ray viewer, 2 bay, approx. 1000x625x102mm</t>
  </si>
  <si>
    <t>Dimmable LED viewer with shutter, flush mounting and wiring</t>
  </si>
  <si>
    <t>Market LED X-ray viewer prices vary from low single/double units to INR 79,000 multi-screen; selected 2-bay installed allowance</t>
  </si>
  <si>
    <t>https://www.tradeindia.com/manufacturers/x-ray-viewer.html</t>
  </si>
  <si>
    <t>SS storage cabinets 900x350x1800mm</t>
  </si>
  <si>
    <t>Flush/hygienic SS304 storage cabinets; 3 per theatre</t>
  </si>
  <si>
    <t>Budgetary fabricated SS304 cabinet rate</t>
  </si>
  <si>
    <t>SS writing table / operating list board with light</t>
  </si>
  <si>
    <t>Approx. 900W x 450H x 280D, hygienic surface and concealed fixing</t>
  </si>
  <si>
    <t>Budgetary fabricated SS rate</t>
  </si>
  <si>
    <t>Flush OT control panel</t>
  </si>
  <si>
    <t>Clock, timer, gas alarm interface, intercom/telephone, temperature/RH display, lighting controls and HEPA status</t>
  </si>
  <si>
    <t>Market control panel listings INR 90,000 to 500,000; selected mid/high healthcare integrated rate</t>
  </si>
  <si>
    <t>https://www.bio-xhealthcare.com/surgeon-control-panel.html</t>
  </si>
  <si>
    <t>Air-sealed cleanroom lighting box 1200x300x38mm</t>
  </si>
  <si>
    <t>Airtight cleanroom/OT LED luminaire, dimming interface and below-access maintenance</t>
  </si>
  <si>
    <t>Cleanroom light market references converted and uplifted for sealed OT luminaire</t>
  </si>
  <si>
    <t>https://denphongsach.com/en/post/latest-price-list-of-clean-room-lights-used-in-medical-clean-rooms-76.htm</t>
  </si>
  <si>
    <t>Ceiling-mounted double-dome LED surgical light</t>
  </si>
  <si>
    <t>Major surgery double dome LED light with ceiling suspension, controls and installation</t>
  </si>
  <si>
    <t>Double-dome OT light market range INR 53,800-495,800; selected hospital-grade budget rate</t>
  </si>
  <si>
    <t>https://www.hospitalstore.com/ot-lights/double-dome/</t>
  </si>
  <si>
    <t>Single-arm anaesthetist pendant</t>
  </si>
  <si>
    <t>Medical gas/electrical/data pendant with outlets as uploaded quotation, arm and suspension</t>
  </si>
  <si>
    <t>Pendant market references from INR 58,000 to 500,000; selected higher specification installed rate</t>
  </si>
  <si>
    <t>https://www.dnhshealthcaredevicesprivatelimited.com/single-arm-surgical-pendant-7535161.html</t>
  </si>
  <si>
    <t>Surgical pendant / monitor support arm allowance</t>
  </si>
  <si>
    <t>Ceiling-mounted surgical services/monitor arm, if required by final clinical equipment layout</t>
  </si>
  <si>
    <t>Provisional allowance pending final clinical layout</t>
  </si>
  <si>
    <t>D - HVAC / LAF</t>
  </si>
  <si>
    <t>Laminar flow ceiling Class III 2600x1400x520 with H14 HEPA filters</t>
  </si>
  <si>
    <t>LAF/UCV plenum, fabric/screen distributor, four H14 HEPA filters, housings, ports and validation readiness</t>
  </si>
  <si>
    <t>LAF market benchmark INR 300,000-400,000 and similar 2600x1400x520 H14 product listing; uplifted for installed package</t>
  </si>
  <si>
    <t>https://www.pranavinstruments.com/new-items.html</t>
  </si>
  <si>
    <t>Dedicated hygienic AHU for operating theatre</t>
  </si>
  <si>
    <t>Double skin AHU with VSD, filters, coils, SS drain pan, controls and site installation; final airflow by HVAC design</t>
  </si>
  <si>
    <t>Hospital/modular OT AHU market listings range approx. INR 200,000-1,000,000; selected installed healthcare budget rate</t>
  </si>
  <si>
    <t>https://www.osdpharmachsystems.com/air-handling-unit.html</t>
  </si>
  <si>
    <t>Exhaust/return fan set with VSD and controls</t>
  </si>
  <si>
    <t>Low-noise exhaust/return fan, VSD, isolators and basic controls per theatre</t>
  </si>
  <si>
    <t>Budgetary mechanical services allowance</t>
  </si>
  <si>
    <t>Ductwork, insulation, dampers and clean terminal connections</t>
  </si>
  <si>
    <t>Ducts, supports, access doors, balancing dampers and interfaces between AHU/LAF/returns within OT zone</t>
  </si>
  <si>
    <t>Budgetary quantity-based allowance pending detailed duct design</t>
  </si>
  <si>
    <t>Room pressure/temperature/RH sensors and BMS interface</t>
  </si>
  <si>
    <t>Pressure cascade monitoring, temp/RH sensors, alarm relays and BMS interface per theatre</t>
  </si>
  <si>
    <t>Budgetary controls allowance</t>
  </si>
  <si>
    <t>HEPA filter initial set and first-year spare set</t>
  </si>
  <si>
    <t>Additional terminal HEPA spare set and pre-filter allowance for four OTs</t>
  </si>
  <si>
    <t>Budgetary filter/spare allowance based on H13/H14 HEPA requirements</t>
  </si>
  <si>
    <t>E - Electrical &amp; gases</t>
  </si>
  <si>
    <t>Medical IT / IPS isolated power distribution board</t>
  </si>
  <si>
    <t>Transformer, IMD, load/temp monitoring, outgoing MCBs, remote alarm/test panel and installation</t>
  </si>
  <si>
    <t>Budgetary allowance; system content based on IEC 60364-7-710/medical IT requirements</t>
  </si>
  <si>
    <t>https://aktif.net/en/why-medical-isolated-power-systems-are-important-for-hospitals/</t>
  </si>
  <si>
    <t>Power socket box with 5 x 13A sockets and 5-bay earth terminal</t>
  </si>
  <si>
    <t>Flush/hygienic power service box; 4 per theatre</t>
  </si>
  <si>
    <t>Budgetary electrical fittings allowance</t>
  </si>
  <si>
    <t>Medical gas terminal box with five BS type terminal units</t>
  </si>
  <si>
    <t>Flush box with five BS terminal units; two boxes per theatre; excludes medical gas plant and main pipe network</t>
  </si>
  <si>
    <t>Gas outlet market prices listed per outlet, uplifted for 5-outlet box/enclosure/install</t>
  </si>
  <si>
    <t>https://www.medicalgaspipelinesystem.in/medical-gas-outlet.html</t>
  </si>
  <si>
    <t>Patient ground module and supplementary equipotential bonding</t>
  </si>
  <si>
    <t>Bonding of panels, doors, floor grid, pendants, gases and patient environment; includes tests</t>
  </si>
  <si>
    <t>Budgetary electrical safety allowance</t>
  </si>
  <si>
    <t>ELV/data/intercom/AV cabling allowance</t>
  </si>
  <si>
    <t>RJ45, telephone/intercom, AV points, alarm repeaters, OT panel interfaces</t>
  </si>
  <si>
    <t>Budgetary ELV allowance</t>
  </si>
  <si>
    <t>F - T&amp;C / deliverables</t>
  </si>
  <si>
    <t>Independent testing, commissioning and validation</t>
  </si>
  <si>
    <t>Airflow, pressure, HEPA leak, ISO particle count, microbiology, temp/RH, noise, lux, smoke, electrical and medical gas tests</t>
  </si>
  <si>
    <t>Validation scope follows modular OT specification and room data requirements</t>
  </si>
  <si>
    <t>Specification requirement</t>
  </si>
  <si>
    <t>Shop drawings, calculations, samples, as-built records, O&amp;M manuals and training</t>
  </si>
  <si>
    <t>Complete contractor documents, warranties, cleaning data, certificates and handover training</t>
  </si>
  <si>
    <t>Deliverables allowance</t>
  </si>
  <si>
    <t>Mobilisation, freight, local handling, protection and demobilisation</t>
  </si>
  <si>
    <t>Import/local transport, unloading, storage, site protection, cleaning and demobilisation</t>
  </si>
  <si>
    <t>Budgetary logistics allowance for imported/modular packages</t>
  </si>
  <si>
    <t>Total before contingency and VAT</t>
  </si>
  <si>
    <t>SOURCE DOCUMENTS, SCOPE CONTROLS &amp; EXCLUSIONS</t>
  </si>
  <si>
    <t>Source</t>
  </si>
  <si>
    <t>Reference / File</t>
  </si>
  <si>
    <t>How Used</t>
  </si>
  <si>
    <t>Important Control</t>
  </si>
  <si>
    <t>Site Works BOQ</t>
  </si>
  <si>
    <t>Copied unchanged; exact total retained in Summary.</t>
  </si>
  <si>
    <t>No changes to scope, quantities, rates or contingency.</t>
  </si>
  <si>
    <t>Modular OT BOQ</t>
  </si>
  <si>
    <t>Copied unchanged; exact direct and VAT-inclusive totals retained.</t>
  </si>
  <si>
    <t>No changes to existing 35-line specialist modular package.</t>
  </si>
  <si>
    <t>Existing plan</t>
  </si>
  <si>
    <t>004-Existing G.Floor plan.pdf / DGHM-P2-A-004</t>
  </si>
  <si>
    <t>Existing layout and refurbishment boundary context.</t>
  </si>
  <si>
    <t>Remeasure final dimensions on site.</t>
  </si>
  <si>
    <t>Beam layout</t>
  </si>
  <si>
    <t>005-Existing 1st floor beam layout.pdf / DGHM-P2-A-005</t>
  </si>
  <si>
    <t>Structural frame control for demolition and openings.</t>
  </si>
  <si>
    <t>No structural demolition/cutting without Structural Engineer approval.</t>
  </si>
  <si>
    <t>Demolition plan</t>
  </si>
  <si>
    <t>006-Existing G.floor Demolition.pdf / DGHM-P2-A-006</t>
  </si>
  <si>
    <t>Primary selective demolition basis.</t>
  </si>
  <si>
    <t>Red-highlight demolition is interpreted as mainly partition/fit-out work; verify thickness/material.</t>
  </si>
  <si>
    <t>New construction</t>
  </si>
  <si>
    <t>007-G.Floor New construction.pdf / DGHM-P2-A-007</t>
  </si>
  <si>
    <t>New wall/partition and making-good basis.</t>
  </si>
  <si>
    <t>Partition areas are provisional until detailed room-by-room takeoff.</t>
  </si>
  <si>
    <t>Door layout</t>
  </si>
  <si>
    <t>008-G.Floor Doors.pdf / DGHM-P2-A-008</t>
  </si>
  <si>
    <t>Door allowance basis.</t>
  </si>
  <si>
    <t>62 door tags identified; 8 modular hermetic OT doors are already in Modular OT BOQ, leaving 54 provisional non-modular doors.</t>
  </si>
  <si>
    <t>Ceiling layout</t>
  </si>
  <si>
    <t>009-G.Floor Ceiling layout.pdf / DGHM-P2-A-009</t>
  </si>
  <si>
    <t>Ceiling renewal allowance.</t>
  </si>
  <si>
    <t>Coordinate all ceiling work with MEP access and clean-zone requirements.</t>
  </si>
  <si>
    <t>Trolley / corner guard</t>
  </si>
  <si>
    <t>010-Trolly &amp; Conner Gurred.pdf / DGHM-P2-A-010</t>
  </si>
  <si>
    <t>Trolley guard and corner guard allowance.</t>
  </si>
  <si>
    <t>Final lengths/counts to be measured from approved elevations.</t>
  </si>
  <si>
    <t>Room layout</t>
  </si>
  <si>
    <t>011-G.Floor Room Layout.pdf / DGHM-P2-A-011</t>
  </si>
  <si>
    <t>33-room functional layout and zoning basis.</t>
  </si>
  <si>
    <t>Finishes split by clinical/support/wet-room functions.</t>
  </si>
  <si>
    <t>Modular OT Specification</t>
  </si>
  <si>
    <t>Modular_Operating_Theatre_Specification.docx</t>
  </si>
  <si>
    <t>Used to avoid duplication and define preparatory interface.</t>
  </si>
  <si>
    <t>Modular package includes specialist OT envelope, flooring, doors, supports, HVAC/LAF, electrical/gas interfaces and validation as scheduled.</t>
  </si>
  <si>
    <t>Southern Provincial Engineering Services Office - Matara District BSR 2026</t>
  </si>
  <si>
    <t>Primary civil BSR benchmark for demolition/concrete/masonry/plastering.</t>
  </si>
  <si>
    <t>Qualified/derived matches remain subject to Engineer approval.</t>
  </si>
  <si>
    <t>NWSDB Rate Book 2025</t>
  </si>
  <si>
    <t>RB 2025 Vol I (1).pdf</t>
  </si>
  <si>
    <t>Secondary benchmark for tiles, ceilings and paint where used.</t>
  </si>
  <si>
    <t>Section B base rates have 27% addition applied where noted.</t>
  </si>
  <si>
    <t>Image 1(1).jpg and image 2(1).jpg</t>
  </si>
  <si>
    <t>Existing rooms show substantial loose/fixed clinical equipment and extensive exposed overhead MEP/duct services, supporting provisional relocation and service strip-out items.</t>
  </si>
  <si>
    <t>Final quantities/scope require tagged equipment inventory, service tracing, safe-isolation plan and written relocation instructions.</t>
  </si>
  <si>
    <t>MATARA OT RENOVATION - CONSOLIDATED BOQ &amp; ENGINEER'S PRELIMINARY ESTIMATE – REV 7</t>
  </si>
  <si>
    <t>Updated with reviewed Electrical and Ancillary Works BOQs. Site Works, MVAC and Rainwater packages have been adjusted to remove identified overlaps. Original source sheets are retained where applicable for audit; reviewed package sheets govern this consolidated estimate.</t>
  </si>
  <si>
    <t>Package / Section</t>
  </si>
  <si>
    <t>Reviewed Direct / Base Amount (LKR)</t>
  </si>
  <si>
    <t>Contingency (LKR)</t>
  </si>
  <si>
    <t>VAT / Tax (LKR)</t>
  </si>
  <si>
    <t>Consolidated Total (LKR)</t>
  </si>
  <si>
    <t>Status / Review Note</t>
  </si>
  <si>
    <t>A. Site Works / Landscaping – REVIEWED</t>
  </si>
  <si>
    <t>Detailed Site Works re-totalled; clear duplicate items removed. Original source sheet retained.</t>
  </si>
  <si>
    <t>B. Modular Operating Theatre Package</t>
  </si>
  <si>
    <t>UNCHANGED specialist package; electrical interfaces reconciled against reviewed Electrical BOQ.</t>
  </si>
  <si>
    <t>C. Added Renovation Works incl. Equipment Relocation &amp; MEP Strip-out</t>
  </si>
  <si>
    <t>Existing preliminary renovation estimate retained.</t>
  </si>
  <si>
    <t>D. MVAC Works – REVIEWED</t>
  </si>
  <si>
    <t>Electrical allowance reduced because DB-AC and power feeders/cables are now in Electrical BOQ.</t>
  </si>
  <si>
    <t>E. Medical Gas System</t>
  </si>
  <si>
    <t>Preliminary specialist estimate; Modular OT terminal hardware excluded.</t>
  </si>
  <si>
    <t>F. Water Supply System</t>
  </si>
  <si>
    <t>Preliminary specialist estimate; sanitary fixtures excluded where already measured.</t>
  </si>
  <si>
    <t>G. Wastewater &amp; Sewerage System</t>
  </si>
  <si>
    <t>Preliminary specialist estimate; foul drainage only.</t>
  </si>
  <si>
    <t>H. Rainwater Disposal System – REVIEWED</t>
  </si>
  <si>
    <t>Courtyard diversion retained; general roof gutters/downpipes removed because Ancillary Roof BOQ includes them.</t>
  </si>
  <si>
    <t>I. Electrical Installation – REVIEWED</t>
  </si>
  <si>
    <t>Source LKR 21.0396m less LKR 2.308m identified Modular OT overlaps.</t>
  </si>
  <si>
    <t>J. Ancillary Buildings &amp; Extension – REVIEWED</t>
  </si>
  <si>
    <t>Detailed source line items used; stale subtotals and roof amount errors corrected in reviewed sheet.</t>
  </si>
  <si>
    <t>PROJECT TOTAL</t>
  </si>
  <si>
    <t>VAT/tax is carried only where already included in the earlier Modular OT and Added Renovation package estimates; newly reviewed/additional packages are shown excluding VAT.</t>
  </si>
  <si>
    <t>Key Consolidation Controls / Findings</t>
  </si>
  <si>
    <t>Value</t>
  </si>
  <si>
    <t>Source / Cross-check</t>
  </si>
  <si>
    <t>Reference</t>
  </si>
  <si>
    <t>Consolidation Treatment</t>
  </si>
  <si>
    <t>Electrical source subtotal</t>
  </si>
  <si>
    <t>LKR 21,039,600</t>
  </si>
  <si>
    <t>Uploaded Mathara Hospital BOQ(1).xls</t>
  </si>
  <si>
    <t>Electrical source</t>
  </si>
  <si>
    <t>Reviewed line by line</t>
  </si>
  <si>
    <t>Electrical duplicate deduction</t>
  </si>
  <si>
    <t>LKR 2,308,000</t>
  </si>
  <si>
    <t>Modular OT C6/E2 vs Electrical lighting/socket quantities</t>
  </si>
  <si>
    <t>Electrical Reconciliation</t>
  </si>
  <si>
    <t>40 OT lights/points and 80 OT sockets removed from Electrical</t>
  </si>
  <si>
    <t>MVAC electrical overlap</t>
  </si>
  <si>
    <t>LKR 4,000,000 direct reduction</t>
  </si>
  <si>
    <t>Electrical DB-AC/cables now detailed in source Electrical BOQ</t>
  </si>
  <si>
    <t>MVAC E2</t>
  </si>
  <si>
    <t>MVAC E2 reduced from LKR 5.0m to LKR 1.0m interface-only</t>
  </si>
  <si>
    <t>Site Works source detailed direct subtotal</t>
  </si>
  <si>
    <t>LKR 9,176,793</t>
  </si>
  <si>
    <t>Site Works - Unchanged</t>
  </si>
  <si>
    <t>Detailed rows</t>
  </si>
  <si>
    <t>Old consolidated Summary had been carrying an outdated lower source amount</t>
  </si>
  <si>
    <t>Site Works reviewed direct subtotal</t>
  </si>
  <si>
    <t>LKR 8,984,311</t>
  </si>
  <si>
    <t>Site Works - Reviewed</t>
  </si>
  <si>
    <t>Duplicate removal register</t>
  </si>
  <si>
    <t>Canopy roof, hardstanding overlap, excess disposal and duplicate landscape maintenance adjusted</t>
  </si>
  <si>
    <t>Ancillary reviewed direct subtotal</t>
  </si>
  <si>
    <t>Uploaded BOQ_Ancilary Building and extension.xlsx</t>
  </si>
  <si>
    <t>Ancillary Works - Reviewed</t>
  </si>
  <si>
    <t>Detailed line items govern; stale summary ignored</t>
  </si>
  <si>
    <t>Ancillary roof schedule</t>
  </si>
  <si>
    <t>Qty × Rate recalculated</t>
  </si>
  <si>
    <t>Source Sheet1</t>
  </si>
  <si>
    <t>R.02-R.15</t>
  </si>
  <si>
    <t>Stored amounts were inconsistent with current displayed quantities/rates</t>
  </si>
  <si>
    <t>Rainwater roof drainage overlap</t>
  </si>
  <si>
    <t>LKR 357,000 direct removed</t>
  </si>
  <si>
    <t>Ancillary Roof R.08-R.12 vs Rainwater D1-D4</t>
  </si>
  <si>
    <t>Rainwater Reconciliation</t>
  </si>
  <si>
    <t>Courtyard diversion remains; general roof drainage governed by Ancillary BOQ</t>
  </si>
  <si>
    <t>Estimate status</t>
  </si>
  <si>
    <t>Preliminary / Budgetary</t>
  </si>
  <si>
    <t>All reviewed packages</t>
  </si>
  <si>
    <t>Rev 7</t>
  </si>
  <si>
    <t>Final tender requires coordinated drawings, remeasurement and supplier quotations for specialist items</t>
  </si>
  <si>
    <t>Electrical BOQ</t>
  </si>
  <si>
    <t>Mathara Hospital BOQ(1).xls</t>
  </si>
  <si>
    <t>Reviewed priced electrical items; source subtotal LKR 21,039,600. OT lighting/socket overlaps deducted in reviewed electrical sheet.</t>
  </si>
  <si>
    <t>Legacy source retained externally; reviewed normalized BOQ governs consolidation.</t>
  </si>
  <si>
    <t>Ancillary Works BOQ</t>
  </si>
  <si>
    <t>BOQ_Ancilary Building and extension.xlsx</t>
  </si>
  <si>
    <t>Detailed generator/technical, recovery extension, ancillary civil and roof schedule reviewed and consolidated.</t>
  </si>
  <si>
    <t>Source summary/subtotals contain omissions/inconsistencies; detailed line-item review governs.</t>
  </si>
  <si>
    <t>Site Works review</t>
  </si>
  <si>
    <t>Site Works - Unchanged + new ancillary/renovation packages</t>
  </si>
  <si>
    <t>Original Site Works retained; duplicate canopy, concrete hardstanding, excess debris allowance and duplicate landscape maintenance adjusted in reviewed sheet.</t>
  </si>
  <si>
    <t>Use 'Site Works - Reviewed' for consolidated estimate.</t>
  </si>
  <si>
    <t>Electrical / MVAC interface</t>
  </si>
  <si>
    <t>Electrical reviewed BOQ vs MVAC E2</t>
  </si>
  <si>
    <t>Detailed electrical BOQ now governs DB-AC and power feeders/cables. MVAC E2 reduced to local control/interface allowance.</t>
  </si>
  <si>
    <t>Confirm final single-line diagram and equipment isolator boundaries.</t>
  </si>
  <si>
    <t>Ancillary / Rainwater interface</t>
  </si>
  <si>
    <t>General roof gutters/downpipes/stormwater connections governed by Ancillary Roof schedule; Rainwater BOQ retained for courtyard diversion.</t>
  </si>
  <si>
    <t>Avoid duplicate payment for roof drainage hardware.</t>
  </si>
  <si>
    <t>Consolidated estimate</t>
  </si>
  <si>
    <t>Summary updated to reviewed package totals and 10% design-development contingencies on newly reviewed packages.</t>
  </si>
  <si>
    <t>VAT excluded from newly added/reviewed specialist packages unless expressly stated.</t>
  </si>
  <si>
    <t>DISTRICT GENERAL HOSPITAL MATARA – MVAC BOQ &amp; ENGINEER'S ESTIMATE</t>
  </si>
  <si>
    <t>Prepared from uploaded MVAC drawings. OT-specific LAF/AHU/exhaust/ductwork/room-control scope already included in the Modular OT package is excluded to avoid duplication.</t>
  </si>
  <si>
    <t>BOQ Description</t>
  </si>
  <si>
    <t>Rate Basis</t>
  </si>
  <si>
    <t>Duplication Check</t>
  </si>
  <si>
    <t>A - Central chilled-water plant</t>
  </si>
  <si>
    <t>Supply, install, test and commission 50 RT standard water-cooled screw chiller, complete with compressor(s), evaporator, condenser, refrigerant charge, microprocessor controls, anti-vibration mounts, isolation valves, gauges, thermometers, flow proving and all accessories required for a complete operational unit.</t>
  </si>
  <si>
    <t>Engineer 2026 provisional market allowance</t>
  </si>
  <si>
    <t>MVAC Equipment Schedule – CH-01</t>
  </si>
  <si>
    <t>Not in Modular OT BOQ</t>
  </si>
  <si>
    <t>Obtain minimum 3 supplier quotations before tender.</t>
  </si>
  <si>
    <t>Supply, install, test and commission chilled-water circulation pump set, 130 GPM at 30 m head, complete with motor, base frame, flexible connectors, isolating valves, check valve, strainer, pressure gauges, vibration isolation and accessories.</t>
  </si>
  <si>
    <t>MVAC Equipment Schedule – CHWP-01</t>
  </si>
  <si>
    <t>One duty/standby arrangement to be confirmed.</t>
  </si>
  <si>
    <t>Supply, install, test and commission condenser-water pump set, 160 GPM at 20 m head, complete with motor, base frame, flexible connectors, isolating valves, check valve, strainer, gauges, vibration isolation and accessories.</t>
  </si>
  <si>
    <t>MVAC Equipment Schedule – CWP-01</t>
  </si>
  <si>
    <t>Final pump duty to approved selection.</t>
  </si>
  <si>
    <t>Supply, install, test and commission cross-flow square induced-draft cooling tower, 75 RT, design entering/leaving water temperatures 37/32°C, complete with fan, motor, drift eliminators, basin, make-up arrangement, vibration isolation, controls and accessories.</t>
  </si>
  <si>
    <t>MVAC Equipment Schedule – CT-01</t>
  </si>
  <si>
    <t>Structural base/platform measured elsewhere unless specifically included.</t>
  </si>
  <si>
    <t>Provide cooling-tower make-up water tank, make-up/overflow connections, float control and associated valves and fittings as indicated, complete.</t>
  </si>
  <si>
    <t>Engineer provisional allowance</t>
  </si>
  <si>
    <t>MVAC drawing – cooling tower detail</t>
  </si>
  <si>
    <t>Final tank capacity/material to be confirmed.</t>
  </si>
  <si>
    <t>B - Non-OT airside equipment</t>
  </si>
  <si>
    <t>Supply, install, test and commission hung-type AHU, nominal 5 RT / 1,500 CFM, G4 + F7 filtration, external static pressure approximately 150 Pa, with cooling coil, drain pan, fan/motor, access sections, controls, vibration isolation and flexible connections.</t>
  </si>
  <si>
    <t>MVAC Equipment Schedule – AHU-03</t>
  </si>
  <si>
    <t>Outside Modular OT dedicated AHU scope</t>
  </si>
  <si>
    <t>Confirm served rooms before tender.</t>
  </si>
  <si>
    <t>Supply, install, test and commission hung-type AHU, nominal 10 RT / 3,000 CFM, G4 + F7 filtration, approximately 400 CFM fresh air and 250 Pa external static pressure, complete with cooling coil, drain pan, fan/motor, controls and accessories.</t>
  </si>
  <si>
    <t>MVAC Equipment Schedule – AHU-04</t>
  </si>
  <si>
    <t>Supply, install and commission 2-way cassette chilled-water fan-coil unit, nominal 1.0 RT, complete with control valve, thermostat, drain connection, condensate pump where required and all accessories.</t>
  </si>
  <si>
    <t>Engineer provisional market allowance</t>
  </si>
  <si>
    <t>MVAC Equipment Schedule – FCU-01</t>
  </si>
  <si>
    <t>Supply, install and commission 2-way cassette chilled-water fan-coil unit, nominal 1.5 RT, complete.</t>
  </si>
  <si>
    <t>MVAC Equipment Schedule – FCU-02</t>
  </si>
  <si>
    <t>Supply, install and commission 2-way cassette chilled-water fan-coil unit, nominal 0.75 RT, complete.</t>
  </si>
  <si>
    <t>MVAC Equipment Schedule – FCU-03</t>
  </si>
  <si>
    <t>Supply, install and commission 2-way cassette chilled-water fan-coil unit, nominal 2.0 RT, complete.</t>
  </si>
  <si>
    <t>MVAC Equipment Schedule – FCU-04</t>
  </si>
  <si>
    <t>Supply, install, test and commission duct-mounted silent exhaust fan, 750 CFM at approximately 200 Pa, complete with flexible connectors, vibration isolation, supports, backdraft damper and electrical isolator.</t>
  </si>
  <si>
    <t>MVAC Equipment Schedule – EF-02</t>
  </si>
  <si>
    <t>Not identified as Modular OT exhaust fan</t>
  </si>
  <si>
    <t>Confirm served zone; exclude if found to serve an OT.</t>
  </si>
  <si>
    <t>Supply, install and commission wall-mounted silent toilet exhaust fan, approximately 200 CFM, complete with louvre/backdraft shutter, wiring connection and accessories.</t>
  </si>
  <si>
    <t>MVAC Equipment Schedule – TEF-01</t>
  </si>
  <si>
    <t>C - Air distribution outside OT package</t>
  </si>
  <si>
    <t>Fabricate and install GI supply/return/fresh-air ductwork serving non-OT areas, including fittings, transitions, turning vanes, supports, hangers, access doors, flexible connections, sealants and external thermal insulation where required. OT ductwork from dedicated OT AHU to LAF/OT terminals is expressly excluded.</t>
  </si>
  <si>
    <t>Preliminary composite rate; final by sheet-metal gauge/insulation class</t>
  </si>
  <si>
    <t>MVAC plan take-off allowance</t>
  </si>
  <si>
    <t>OT ductwork excluded – Modular OT D4</t>
  </si>
  <si>
    <t>Provisional Qty</t>
  </si>
  <si>
    <t>Remeasure from final CAD/shop drawings.</t>
  </si>
  <si>
    <t>Fabricate and install GI exhaust-air ductwork serving non-OT areas, complete with fittings, supports, sealants, access doors and flexible connections. OT exhaust/return ductwork included in the Modular OT package is excluded.</t>
  </si>
  <si>
    <t>Preliminary composite rate</t>
  </si>
  <si>
    <t>OT exhaust ductwork excluded – Modular OT D3/D4</t>
  </si>
  <si>
    <t>Supply and install non-OT supply diffusers, return grilles, exhaust grilles and outdoor fresh/exhaust air louvers with demister filters/VCDs where scheduled, including neck adaptors, plenums, supports and finishes.</t>
  </si>
  <si>
    <t>MVAC Air Terminal Schedule</t>
  </si>
  <si>
    <t>Exclude LAF diffusers/OT terminal connections</t>
  </si>
  <si>
    <t>Final quantities by coordinated reflected ceiling plan.</t>
  </si>
  <si>
    <t>D - Chilled/condenser water distribution</t>
  </si>
  <si>
    <t>Supply, install, pressure-test, flush, chemically clean and commission complete chilled-water supply and return pipework system from central plant to all non-OT AHUs/FCUs and up to agreed connection points for OT-package AHUs; including approved pipework, fittings, supports, sleeves, valves, strainers, balancing/control valves, thermometers, pressure gauges, air vents, drains, insulation, vapour barrier and identification.</t>
  </si>
  <si>
    <t>Engineer provisional allowance based on drawing network</t>
  </si>
  <si>
    <t>MVAC plan – CHWS/CHWR 25–100 mm</t>
  </si>
  <si>
    <t>OT AHUs excluded; distribution/interface retained</t>
  </si>
  <si>
    <t>Replace by measured diameter-by-diameter schedule before tender.</t>
  </si>
  <si>
    <t>Supply, install, pressure-test and commission complete condenser-water supply/return pipework between chillers, pumps and cooling towers, including fittings, supports, isolation/check/balancing valves, strainers, gauges, drains, make-up/overflow interfaces and painting/identification.</t>
  </si>
  <si>
    <t>MVAC plan – CWS/CWR incl. 100/200 mm</t>
  </si>
  <si>
    <t>Final diameter/length take-off required.</t>
  </si>
  <si>
    <t>Provide final chilled-water supply/return connection interface to each Modular OT-package AHU connection point, including isolation valves, balancing/control valve interface, flexible connectors, drain/air vent, gauges and insulation. AHU itself excluded.</t>
  </si>
  <si>
    <t>Engineer interface allowance</t>
  </si>
  <si>
    <t>MVAC / Modular OT interface</t>
  </si>
  <si>
    <t>Prevents gap without duplicating AHU</t>
  </si>
  <si>
    <t>Connection point to be defined on coordinated shop drawings.</t>
  </si>
  <si>
    <t>D - Condensate drainage</t>
  </si>
  <si>
    <t>Supply and install uPVC Type 600 insulated condensate drain piping from all non-OT AHUs and FCUs to approved discharge points, including traps, fittings, supports, cleanouts and testing.</t>
  </si>
  <si>
    <t>MVAC drawing Note 2 &amp; 3</t>
  </si>
  <si>
    <t>OT condensate within OT package only if supplied there</t>
  </si>
  <si>
    <t>E - Controls and BMS</t>
  </si>
  <si>
    <t>Provide complete plant and non-OT HVAC automatic controls/BMS interface, including chiller/pump/cooling-tower sequencing, AHU/FCU controls, temperature sensors, control valves/actuators, status/alarm points, interlocks and fire-alarm shutdown interface. OT room pressure/temperature/RH sensors and OT control-panel functions are excluded.</t>
  </si>
  <si>
    <t>Engineer provisional controls allowance</t>
  </si>
  <si>
    <t>MVAC drawing notes and equipment schedule</t>
  </si>
  <si>
    <t>OT controls excluded – Modular OT D5</t>
  </si>
  <si>
    <t>E - Electrical for MVAC</t>
  </si>
  <si>
    <t>Provide local MVAC equipment control/interconnection wiring, local isolator/interface allowance and control-panel terminations not included with packaged equipment. Main DB-AC, feeder cables and final power wiring to chillers/AHUs/cooling towers/FCUs are excluded and measured in the reviewed Electrical BOQ.</t>
  </si>
  <si>
    <t>Revised interface-only allowance after receipt of detailed Electrical BOQ</t>
  </si>
  <si>
    <t>MVAC equipment schedule</t>
  </si>
  <si>
    <t>Electrical BOQ now governs DB-AC and power feeders/cables</t>
  </si>
  <si>
    <t>Reduced from LKR 5.0m to LKR 1.0m to remove duplication with Electrical BOQ.</t>
  </si>
  <si>
    <t>E - Testing, balancing and commissioning</t>
  </si>
  <si>
    <t>Testing, adjusting and balancing of complete central plant and non-OT air/water systems, flushing, pressure testing, water balancing, air balancing, controls functional testing and commissioning reports. Specialist OT cleanroom validation (HEPA leak, particle count, microbiology, smoke visualisation) is excluded.</t>
  </si>
  <si>
    <t>MVAC requirements</t>
  </si>
  <si>
    <t>OT validation excluded – Modular OT F1</t>
  </si>
  <si>
    <t>E - Documentation and training</t>
  </si>
  <si>
    <t>Coordinated shop drawings, equipment selections, calculations, builders-work drawings, as-built drawings, O&amp;M manuals, warranties, spare-parts schedules and training for the MVAC system, excluding duplicate Modular OT package deliverables.</t>
  </si>
  <si>
    <t>Project deliverables</t>
  </si>
  <si>
    <t>OT duplicate documents excluded</t>
  </si>
  <si>
    <t>BOQ Subtotal</t>
  </si>
  <si>
    <t>Design-development contingency</t>
  </si>
  <si>
    <t>Contingency Amount</t>
  </si>
  <si>
    <t>Engineer’s Estimate excl. VAT</t>
  </si>
  <si>
    <t>Excluded</t>
  </si>
  <si>
    <t>MVAC / MODULAR OPERATING THEATRE – SCOPE RECONCILIATION</t>
  </si>
  <si>
    <t>Scope Element</t>
  </si>
  <si>
    <t>Modular OT Existing BOQ</t>
  </si>
  <si>
    <t>MVAC Drawing</t>
  </si>
  <si>
    <t>Treatment in this MVAC BOQ</t>
  </si>
  <si>
    <t>Reason</t>
  </si>
  <si>
    <t>Connection / Boundary</t>
  </si>
  <si>
    <t>Risk</t>
  </si>
  <si>
    <t>Action</t>
  </si>
  <si>
    <t>OT Laminar-flow ceiling / H14 HEPA</t>
  </si>
  <si>
    <t>D1 – 4 No</t>
  </si>
  <si>
    <t>1200x600 laminar-flow diffusers shown at OTs</t>
  </si>
  <si>
    <t>EXCLUDED</t>
  </si>
  <si>
    <t>Already priced in Modular OT package</t>
  </si>
  <si>
    <t>MVAC airside terminates at modular OT package interface</t>
  </si>
  <si>
    <t>High duplication risk</t>
  </si>
  <si>
    <t>Retain only in Modular OT BOQ</t>
  </si>
  <si>
    <t>Dedicated hygienic OT AHUs</t>
  </si>
  <si>
    <t>D2 – 4 No dedicated hygienic AHUs</t>
  </si>
  <si>
    <t>AHU-01/AHU-02 and other AHUs shown</t>
  </si>
  <si>
    <t>OT-serving AHUs EXCLUDED; AHU-03/AHU-04 retained only as non-OT</t>
  </si>
  <si>
    <t>Modular package explicitly prices dedicated OT AHUs</t>
  </si>
  <si>
    <t>Central CHW distribution to agreed OT AHU connection point remains in MVAC</t>
  </si>
  <si>
    <t>High</t>
  </si>
  <si>
    <t>Confirm final AHU-to-room mapping before tender</t>
  </si>
  <si>
    <t>OT exhaust/return fan sets</t>
  </si>
  <si>
    <t>D3 – 4 No</t>
  </si>
  <si>
    <t>EF-01/EF-02 shown</t>
  </si>
  <si>
    <t>Any fan serving OT EXCLUDED; EF-02 retained provisionally only if non-OT</t>
  </si>
  <si>
    <t>Avoid duplicate OT exhaust fan sets</t>
  </si>
  <si>
    <t>Non-OT ventilation remains MVAC</t>
  </si>
  <si>
    <t>Medium/High</t>
  </si>
  <si>
    <t>Confirm EF served areas</t>
  </si>
  <si>
    <t>OT ductwork/insulation/dampers</t>
  </si>
  <si>
    <t>D4 – 4 LS</t>
  </si>
  <si>
    <t>Extensive SA/EA/RA ductwork shown</t>
  </si>
  <si>
    <t>OT routes EXCLUDED; non-OT ductwork retained</t>
  </si>
  <si>
    <t>Modular package includes OT ductwork and clean terminal connections</t>
  </si>
  <si>
    <t>Define physical boundary at OT-package AHU/LAF/room interfaces</t>
  </si>
  <si>
    <t>Mark excluded duct routes on coordinated drawing</t>
  </si>
  <si>
    <t>OT pressure/temp/RH controls</t>
  </si>
  <si>
    <t>D5 – 4 No</t>
  </si>
  <si>
    <t>Controls implied</t>
  </si>
  <si>
    <t>Already priced per theatre</t>
  </si>
  <si>
    <t>Plant/non-OT BMS only under MVAC</t>
  </si>
  <si>
    <t>Provide separate point schedule</t>
  </si>
  <si>
    <t>OT HEPA initial/spares</t>
  </si>
  <si>
    <t>D6 – LS</t>
  </si>
  <si>
    <t>Not separately scheduled</t>
  </si>
  <si>
    <t>Already priced</t>
  </si>
  <si>
    <t>OT validation</t>
  </si>
  <si>
    <t>F1 – 4 No</t>
  </si>
  <si>
    <t>MVAC T&amp;C required</t>
  </si>
  <si>
    <t>Specialist cleanroom/OT validation EXCLUDED; general TAB retained</t>
  </si>
  <si>
    <t>MVAC contractor provides data/support to validator</t>
  </si>
  <si>
    <t>Coordinate witness/acceptance tests</t>
  </si>
  <si>
    <t>Central chillers/pumps/cooling towers</t>
  </si>
  <si>
    <t>Not included</t>
  </si>
  <si>
    <t>CH-01, CHWP-01, CWP-01, CT-01 scheduled</t>
  </si>
  <si>
    <t>INCLUDED</t>
  </si>
  <si>
    <t>Central utility plant is outside modular room package</t>
  </si>
  <si>
    <t>Serves whole renovated HVAC system including OT connection points</t>
  </si>
  <si>
    <t>Low</t>
  </si>
  <si>
    <t>Obtain supplier quotations</t>
  </si>
  <si>
    <t>CHW/CW distribution</t>
  </si>
  <si>
    <t>Not specifically included except OT ductwork</t>
  </si>
  <si>
    <t>CHWS/CHWR/CWS/CWR shown</t>
  </si>
  <si>
    <t>Required central distribution; not duplicated by modular HVAC airside items</t>
  </si>
  <si>
    <t>Terminate at agreed modular AHU valve/flexible-connection point</t>
  </si>
  <si>
    <t>Medium</t>
  </si>
  <si>
    <t>Issue interface matrix</t>
  </si>
  <si>
    <t>Non-OT AHUs/FCUs/toilet ventilation</t>
  </si>
  <si>
    <t>AHU-03/AHU-04, FCU-01..04, TEF-01</t>
  </si>
  <si>
    <t>Outside modular theatre room package</t>
  </si>
  <si>
    <t>Full MVAC scope</t>
  </si>
  <si>
    <t>Confirm room mapping</t>
  </si>
  <si>
    <t>MVAC ENGINEER'S ESTIMATE – RATE BASIS / QUALIFICATIONS</t>
  </si>
  <si>
    <t>Item / Application</t>
  </si>
  <si>
    <t>Primary Basis</t>
  </si>
  <si>
    <t>Quotation Needed</t>
  </si>
  <si>
    <t>Confidence</t>
  </si>
  <si>
    <t>R01</t>
  </si>
  <si>
    <t>50 RT water-cooled screw chiller</t>
  </si>
  <si>
    <t>Budget allowance for 2026 Sri Lanka supply/install; specialist quotation required</t>
  </si>
  <si>
    <t>MVAC Schedule CH-01</t>
  </si>
  <si>
    <t>Yes – 3 quotes</t>
  </si>
  <si>
    <t>Low/Medium</t>
  </si>
  <si>
    <t>Not a published BSR item.</t>
  </si>
  <si>
    <t>R02</t>
  </si>
  <si>
    <t>CHW pump 130 GPM @ 30m</t>
  </si>
  <si>
    <t>Pump, motor, base, valves/flexible connections and installation</t>
  </si>
  <si>
    <t>MVAC Schedule CHWP-01</t>
  </si>
  <si>
    <t>Yes</t>
  </si>
  <si>
    <t>Final duty/efficiency and VSD requirement affect rate.</t>
  </si>
  <si>
    <t>R03</t>
  </si>
  <si>
    <t>Condenser pump 160 GPM @ 20m</t>
  </si>
  <si>
    <t>MVAC Schedule CWP-01</t>
  </si>
  <si>
    <t>R04</t>
  </si>
  <si>
    <t>75 RT cooling tower</t>
  </si>
  <si>
    <t>Cross-flow induced-draft package including local installation</t>
  </si>
  <si>
    <t>MVAC Schedule CT-01</t>
  </si>
  <si>
    <t>Structural platform excluded unless added.</t>
  </si>
  <si>
    <t>R05</t>
  </si>
  <si>
    <t>5 RT hung AHU</t>
  </si>
  <si>
    <t>G4+F7 filters, coil, fan, drain pan, controls/basic accessories</t>
  </si>
  <si>
    <t>MVAC Schedule AHU-03</t>
  </si>
  <si>
    <t>R06</t>
  </si>
  <si>
    <t>10 RT hung AHU</t>
  </si>
  <si>
    <t>G4+F7 filters, coil, fan, controls/basic accessories</t>
  </si>
  <si>
    <t>MVAC Schedule AHU-04</t>
  </si>
  <si>
    <t>R07</t>
  </si>
  <si>
    <t>FCU 0.75–2.0 RT</t>
  </si>
  <si>
    <t>400,000–700,000</t>
  </si>
  <si>
    <t>2-way cassette chilled-water FCU with controls and drain</t>
  </si>
  <si>
    <t>MVAC Schedule FCU-01..04</t>
  </si>
  <si>
    <t>Rate varies by capacity.</t>
  </si>
  <si>
    <t>R08</t>
  </si>
  <si>
    <t>Insulated GI SA/RA/FA ductwork</t>
  </si>
  <si>
    <t>Composite provisional</t>
  </si>
  <si>
    <t>Fabrication + fittings/supports + insulation; final rate to be built by gauge and insulation thickness</t>
  </si>
  <si>
    <t>MVAC drawing</t>
  </si>
  <si>
    <t>Recommended</t>
  </si>
  <si>
    <t>OT routes excluded.</t>
  </si>
  <si>
    <t>R09</t>
  </si>
  <si>
    <t>GI exhaust ductwork</t>
  </si>
  <si>
    <t>Fabrication + fittings/supports; insulation excluded unless required</t>
  </si>
  <si>
    <t>R10</t>
  </si>
  <si>
    <t>CHW distribution</t>
  </si>
  <si>
    <t>Network visible on drawing; final diameter-by-diameter take-off required</t>
  </si>
  <si>
    <t>Yes / measured RA</t>
  </si>
  <si>
    <t>Replace LS with measured schedule before tender.</t>
  </si>
  <si>
    <t>R11</t>
  </si>
  <si>
    <t>Condenser-water distribution</t>
  </si>
  <si>
    <t>CWS/CWR network between chillers, pumps and towers</t>
  </si>
  <si>
    <t>R12</t>
  </si>
  <si>
    <t>Plant/non-OT BMS controls</t>
  </si>
  <si>
    <t>Excludes OT room controls already in Modular OT D5</t>
  </si>
  <si>
    <t>MVAC + Modular OT reconciliation</t>
  </si>
  <si>
    <t>R13</t>
  </si>
  <si>
    <t>General MVAC T&amp;C/TAB</t>
  </si>
  <si>
    <t>Excludes OT cleanroom validation in Modular OT F1</t>
  </si>
  <si>
    <t>Scope reconciliation</t>
  </si>
  <si>
    <t>SOURCE / GOVERNANCE NOTES</t>
  </si>
  <si>
    <t>The uploaded MVAC equipment schedule is the governing basis for capacities and scheduled quantities in this estimate.</t>
  </si>
  <si>
    <t>The existing 'Modular OT - Unchanged' BOQ already contains D1–D6 for LAF/HVAC and F1 validation; those items are not re-priced here.</t>
  </si>
  <si>
    <t>Department of Buildings has a 2026 BSR system; Southern Provincial Council publishes a 2026 Matara BSR. Specialist central HVAC plant is not reliably priced by generic BSR and should be supported by current supplier quotations.</t>
  </si>
  <si>
    <t>All duct and pipe quantities in this sheet are preliminary allowances because the uploaded drawings are PDF plan sheets rather than measurable CAD/BIM files.</t>
  </si>
  <si>
    <t>VAT is excluded. A 10% design-development contingency is shown separately and is not a tender BOQ item.</t>
  </si>
  <si>
    <t>DISTRICT GENERAL HOSPITAL MATARA – MEDICAL GAS SYSTEM BOQ &amp; ENGINEER'S ESTIMATE</t>
  </si>
  <si>
    <t>Preliminary estimate for the renovated OT complex. OT pendants and the 8 modular-theatre medical-gas terminal boxes are excluded from this BOQ to prevent duplication; this BOQ includes source/plant renovation, pipeline distribution, zone valves/alarms, non-OT patient outlets, interfaces, testing and commissioning.</t>
  </si>
  <si>
    <t>Source / Basis</t>
  </si>
  <si>
    <t>A - Design, survey &amp; enabling</t>
  </si>
  <si>
    <t>Detailed site survey and tracing of existing medical-gas services; verify live systems, source equipment, routes, pressures, pipe sizes and connection points; prepare design calculations, medical-gas schematic, zoning philosophy, shop drawings, penetration/support details and coordinated interface drawings in accordance with ISO 7396-1 / ISO 9170-1 and adopted hospital requirements.</t>
  </si>
  <si>
    <t>Engineer provisional specialist allowance</t>
  </si>
  <si>
    <t>Uploaded medical-gas DWG + Matara project documents</t>
  </si>
  <si>
    <t>No duplication</t>
  </si>
  <si>
    <t>Final design and quantities to be verified from CAD and site survey.</t>
  </si>
  <si>
    <t>Temporary isolation, shutdown planning, permit-to-work, purging, temporary caps/bypasses and safe continuity arrangements required to execute the medical-gas works within an operating hospital, complete.</t>
  </si>
  <si>
    <t>Hospital refurbishment / live-services requirement</t>
  </si>
  <si>
    <t>General civil strip-out excludes specialist reconnection</t>
  </si>
  <si>
    <t>Coordinate shutdowns with hospital management.</t>
  </si>
  <si>
    <t>B - Medical-gas plant / source systems</t>
  </si>
  <si>
    <t>Renovation and upgrade of the existing oxygen manifold/source system in the medical-gas plant room, including inspection and replacement as necessary of manifold headers, regulators, non-return valves, isolation valves, flexible cylinder tails, pressure switches, emergency reserve/changeover components, gauges, labels and associated source alarm interfaces; complete tested and recommissioned system.</t>
  </si>
  <si>
    <t>Engineer provisional sum – specialist market allowance</t>
  </si>
  <si>
    <t>Project scope confirms renovation of medical-gas plant room</t>
  </si>
  <si>
    <t>Not in Modular OT package</t>
  </si>
  <si>
    <t>Provisional Sum</t>
  </si>
  <si>
    <t>Final scope subject to condition survey and specialist quotation.</t>
  </si>
  <si>
    <t>Overhaul/upgrade and recommission existing medical compressed-air source plant serving the OT complex, including compressors, receiver, dryers/filters, regulators, safety devices, drains, controls and alarms as required to restore compliant duty/standby operation.</t>
  </si>
  <si>
    <t>Matara medical-gas requirements include Medical Air</t>
  </si>
  <si>
    <t>If complete replacement is required, reprice from approved supplier quotation.</t>
  </si>
  <si>
    <t>Overhaul/upgrade and recommission existing medical vacuum source plant serving the OT complex, including pumps, receiver, bacterial filters, separators, controls, duty/standby sequencing, isolation and alarm interfaces, complete.</t>
  </si>
  <si>
    <t>Matara medical-gas requirements include Vacuum</t>
  </si>
  <si>
    <t>Provide or upgrade anaesthetic gas scavenging system (AGSS) plant/pump arrangement, including receiver/separator where applicable, controls, duty arrangements, exhaust discharge, vibration isolation and all accessories required to serve the operating theatres.</t>
  </si>
  <si>
    <t>Matara equipment schedule identifies AGSS outlets</t>
  </si>
  <si>
    <t>OT outlet hardware excluded; central AGSS source retained here</t>
  </si>
  <si>
    <t>Confirm whether existing AGSS plant can be retained.</t>
  </si>
  <si>
    <t>Medical-gas plant master alarm / source-status panel and alarm interface, including pressure/vacuum switches, low/high alarms, source changeover/fault indication, audible/visual alarms, volt-free/BMS contacts and cabling from source equipment.</t>
  </si>
  <si>
    <t>ISO 7396-1 source alarm requirement</t>
  </si>
  <si>
    <t>OT local control-panel repeater functions excluded</t>
  </si>
  <si>
    <t>C - Medical-gas pipeline distribution</t>
  </si>
  <si>
    <t>Supply and install degreased seamless copper tube suitable for medical-gas service, 15 mm nominal outside diameter, including medical-gas fittings, silver brazing under nitrogen purge, supports, sleeves, identification, access coordination and all accessories.</t>
  </si>
  <si>
    <t>Preliminary installed composite rate</t>
  </si>
  <si>
    <t>Uploaded medical-gas DWG – provisional takeoff allowance</t>
  </si>
  <si>
    <t>Distribution only; outlet hardware separate</t>
  </si>
  <si>
    <t>Re-measure from final CAD/shop drawings.</t>
  </si>
  <si>
    <t>As above, 22 mm nominal outside diameter medical-gas copper tube.</t>
  </si>
  <si>
    <t>As above, 28 mm nominal outside diameter medical-gas copper tube.</t>
  </si>
  <si>
    <t>As above, 35 mm nominal outside diameter medical-gas copper tube.</t>
  </si>
  <si>
    <t>As above, 42 mm nominal outside diameter medical-gas copper tube.</t>
  </si>
  <si>
    <t>Specialist tie-in to existing medical-gas plant/header/risers including shutdown, cutting, brazed connections, isolation valves, pressure testing and recommissioning, per gas service.</t>
  </si>
  <si>
    <t>Engineer specialist interface allowance</t>
  </si>
  <si>
    <t>Four services: Oxygen, Air, Vacuum, AGSS</t>
  </si>
  <si>
    <t>Nitrous oxide is not included unless subsequently confirmed.</t>
  </si>
  <si>
    <t>Pipe identification, flow arrows, valve/service labels, ceiling markers and durable identification throughout the complete medical-gas installation, including updated schematic and valve register.</t>
  </si>
  <si>
    <t>Engineer allowance</t>
  </si>
  <si>
    <t>ISO 7396-1 / hospital identification requirement</t>
  </si>
  <si>
    <t>D - Zone valves &amp; alarms</t>
  </si>
  <si>
    <t>Four-service area valve service unit (AVSU) for each operating theatre zone, suitable for Oxygen, Medical Air, Vacuum and AGSS as applicable, complete with lockable box, isolation valves, gauges/test points, labels and flush/recessed mounting.</t>
  </si>
  <si>
    <t>Engineer provisional specialist market allowance</t>
  </si>
  <si>
    <t>Four operating theatres / medical-gas zoning</t>
  </si>
  <si>
    <t>Terminal boxes/pendants remain in Modular OT package</t>
  </si>
  <si>
    <t>Final gas services per OT to approved medical-gas schematic.</t>
  </si>
  <si>
    <t>Three-service area valve service unit (AVSU) for Recovery / ICU / Isolation clinical zones, suitable for Oxygen, Medical Air and Vacuum, complete with valves, gauges/test points, labels and enclosure.</t>
  </si>
  <si>
    <t>Recovery + ICU support areas</t>
  </si>
  <si>
    <t>Final zoning to be confirmed.</t>
  </si>
  <si>
    <t>Area medical-gas alarm panel for clinical zone, monitoring Oxygen pressure, Medical Air pressure, Vacuum and AGSS status where applicable, complete with audible/visual indication, mute/test, PSU and interface wiring.</t>
  </si>
  <si>
    <t>OT suite and Recovery/ICU alarm zones</t>
  </si>
  <si>
    <t>OT control panels may repeat alarms; primary alarm panel retained here</t>
  </si>
  <si>
    <t>Line isolation valves / branch valves suitable for medical-gas service, including lockable valve box, identification and access panel where required.</t>
  </si>
  <si>
    <t>Pipeline zoning allowance</t>
  </si>
  <si>
    <t>Confirm count from final schematic.</t>
  </si>
  <si>
    <t>E - Terminal units &amp; OT interfaces</t>
  </si>
  <si>
    <t>Medical-gas terminal outlet to non-OT patient spaces, BS/ISO compatible type as approved, for Oxygen, Medical Air or Vacuum, complete with first-fix box, second-fix terminal, colour/service identification and connection to pipeline. Quantity allows a minimum one Oxygen + one Air + one Vacuum outlet at each of 17 Recovery/ICU patient spaces.</t>
  </si>
  <si>
    <t>Matara RDS: 8 Recovery + 1 Isolation Recovery + 6 ICU + 2 Isolation ICU = 17 patient spaces</t>
  </si>
  <si>
    <t>Excludes 8 OT terminal boxes already in Modular OT E3</t>
  </si>
  <si>
    <t>Final outlet multiplicity per bed to clinical user/RDS approval.</t>
  </si>
  <si>
    <t>Connection of medical-gas distribution piping to each Modular OT medical-gas terminal box / pendant interface, including four-service pipe tails, local isolation as required, final brazed joints, pressure test and labelling. Terminal box / pendant itself excluded.</t>
  </si>
  <si>
    <t>Modular OT E3 includes 8 terminal boxes; pipeline excluded there</t>
  </si>
  <si>
    <t>Avoids terminal-box duplication</t>
  </si>
  <si>
    <t>Coordinate exact connection boundary with modular OT supplier.</t>
  </si>
  <si>
    <t>F - Testing, commissioning &amp; handover</t>
  </si>
  <si>
    <t>Pressure testing, tightness testing, cross-connection testing, particulate/cleanliness verification, gas identity testing, flow/pressure performance tests, alarm/valve tests and complete commissioning of the medical-gas pipeline system by competent specialist personnel.</t>
  </si>
  <si>
    <t>Engineer specialist T&amp;C allowance</t>
  </si>
  <si>
    <t>ISO 7396-1 / Modular OT medical-gas validation requirement</t>
  </si>
  <si>
    <t>OT package validation does not include central pipeline installation tests</t>
  </si>
  <si>
    <t>Provide calibrated test records and certificates.</t>
  </si>
  <si>
    <t>Independent medical-gas quality / purity verification and final acceptance testing where required by the Employer, including test certificates for Oxygen, Medical Air, Vacuum and AGSS performance.</t>
  </si>
  <si>
    <t>Engineer specialist allowance</t>
  </si>
  <si>
    <t>Hospital commissioning requirement</t>
  </si>
  <si>
    <t>As-built drawings, medical-gas schematic, valve register, source/area alarm schedules, O&amp;M manuals, preventive-maintenance schedules, recommended spare parts, warranties and training of hospital engineering/clinical staff.</t>
  </si>
  <si>
    <t>Exclude duplicate modular OT manuals for pendants/terminal boxes</t>
  </si>
  <si>
    <t>MEDICAL GAS / MODULAR OT / GENERAL RENOVATION – SCOPE RECONCILIATION</t>
  </si>
  <si>
    <t>Existing Package / Source</t>
  </si>
  <si>
    <t>Treatment in Medical-Gas BOQ</t>
  </si>
  <si>
    <t>Boundary / Interface</t>
  </si>
  <si>
    <t>Duplication Risk</t>
  </si>
  <si>
    <t>Current Allowance</t>
  </si>
  <si>
    <t>Action Before Tender</t>
  </si>
  <si>
    <t>Medical gas pendants – anaesthetist</t>
  </si>
  <si>
    <t>Modular OT C8 – 4 No</t>
  </si>
  <si>
    <t>Medical-gas contractor connects pipeline to pendant/terminal interface</t>
  </si>
  <si>
    <t>Nil in this BOQ</t>
  </si>
  <si>
    <t>Freeze pendant model and outlet configuration.</t>
  </si>
  <si>
    <t>Surgical pendant / monitor support arm</t>
  </si>
  <si>
    <t>Modular OT C9 – 4 No</t>
  </si>
  <si>
    <t>Only gas pipe connection retained where the pendant carries gas outlets</t>
  </si>
  <si>
    <t>Confirm which pendant contains gas outlets.</t>
  </si>
  <si>
    <t>OT medical-gas terminal boxes</t>
  </si>
  <si>
    <t>Modular OT E3 – 8 No, 5 terminals each; explicitly excludes pipeline</t>
  </si>
  <si>
    <t>EXCLUDED terminal boxes; INCLUDED pipeline connection</t>
  </si>
  <si>
    <t>Avoid double-counting terminal hardware while closing pipeline interface</t>
  </si>
  <si>
    <t>Boundary at inlet/tail connection to supplied terminal box/pendant</t>
  </si>
  <si>
    <t>8 connection sets</t>
  </si>
  <si>
    <t>Issue interface matrix with modular supplier.</t>
  </si>
  <si>
    <t>OT control-panel gas alarm repeater/interface</t>
  </si>
  <si>
    <t>Modular OT C5 control panel</t>
  </si>
  <si>
    <t>EXCLUDED local repeater hardware</t>
  </si>
  <si>
    <t>Control panel already priced; central/area alarm remains medical-gas scope</t>
  </si>
  <si>
    <t>Medical-gas alarm provides volt-free/repeater interface</t>
  </si>
  <si>
    <t>Primary area alarms only</t>
  </si>
  <si>
    <t>Confirm signal protocol and wiring responsibility.</t>
  </si>
  <si>
    <t>Medical-gas pipeline distribution</t>
  </si>
  <si>
    <t>Not included in Modular OT E3</t>
  </si>
  <si>
    <t>Modular BOQ expressly excludes pipeline system</t>
  </si>
  <si>
    <t>From source plant through valves to OT connection points and non-OT outlets</t>
  </si>
  <si>
    <t>740 m provisional copper tube</t>
  </si>
  <si>
    <t>Final CAD takeoff required.</t>
  </si>
  <si>
    <t>Recovery/ICU patient outlets</t>
  </si>
  <si>
    <t>Matara RDS identifies 17 patient spaces</t>
  </si>
  <si>
    <t>Outside Modular OT package</t>
  </si>
  <si>
    <t>Minimum one O2 + Air + Vacuum per patient space assumed</t>
  </si>
  <si>
    <t>51 outlets</t>
  </si>
  <si>
    <t>Confirm outlet multiplicity with clinical user.</t>
  </si>
  <si>
    <t>Medical-gas plant room renovation</t>
  </si>
  <si>
    <t>Project feasibility/scope documents</t>
  </si>
  <si>
    <t>INCLUDED as provisional sums</t>
  </si>
  <si>
    <t>Explicit project scope; not in Modular OT package</t>
  </si>
  <si>
    <t>Existing plant/source equipment to be surveyed and retained/overhauled where viable</t>
  </si>
  <si>
    <t>O2, Air, Vacuum, AGSS source allowances</t>
  </si>
  <si>
    <t>Obtain condition report and three specialist quotations.</t>
  </si>
  <si>
    <t>General wall/ceiling repairs to plant room</t>
  </si>
  <si>
    <t>Added Renovation BOQ / general civil works</t>
  </si>
  <si>
    <t>EXCLUDED except specialist mounting/sealing</t>
  </si>
  <si>
    <t>Avoid civil duplication</t>
  </si>
  <si>
    <t>Medical-gas BOQ includes only gas-specific supports, penetrations and making good incidental to installation</t>
  </si>
  <si>
    <t>Nil general architectural allowance</t>
  </si>
  <si>
    <t>Coordinate with renovation BOQ.</t>
  </si>
  <si>
    <t>Existing redundant medical-gas strip-out</t>
  </si>
  <si>
    <t>Added Renovation BOQ Section I includes specialist isolation/removal/capping allowance</t>
  </si>
  <si>
    <t>EXCLUDED from this new-installation BOQ</t>
  </si>
  <si>
    <t>Already allowed under preparatory/strip-out works</t>
  </si>
  <si>
    <t>New medical-gas contractor starts after approved isolation/demolition handover</t>
  </si>
  <si>
    <t>Nil</t>
  </si>
  <si>
    <t>Confirm whether contractor scope combines demolition and new installation.</t>
  </si>
  <si>
    <t>Nitrous oxide (N2O)</t>
  </si>
  <si>
    <t>Not identified in Matara equipment schedule provided</t>
  </si>
  <si>
    <t>NOT INCLUDED</t>
  </si>
  <si>
    <t>Source schedule identifies Oxygen, Air, Vacuum and AGSS</t>
  </si>
  <si>
    <t>Add only if final clinical brief/drawing requires it</t>
  </si>
  <si>
    <t>Obtain written clinical confirmation before tender.</t>
  </si>
  <si>
    <t>MEDICAL GAS ENGINEER'S ESTIMATE – RATE BASIS / ASSUMPTIONS</t>
  </si>
  <si>
    <t>Basis</t>
  </si>
  <si>
    <t>Source / Reference</t>
  </si>
  <si>
    <t>MG-R01</t>
  </si>
  <si>
    <t>Existing oxygen manifold/source renovation</t>
  </si>
  <si>
    <t>Engineer provisional sum</t>
  </si>
  <si>
    <t>Overhaul/upgrade rather than assumed complete new source plant</t>
  </si>
  <si>
    <t>Matara project scope – medical-gas plant room renovation</t>
  </si>
  <si>
    <t>Yes – minimum 3 specialist quotes</t>
  </si>
  <si>
    <t>Condition survey may substantially change cost.</t>
  </si>
  <si>
    <t>MG-R02</t>
  </si>
  <si>
    <t>Medical air source overhaul/upgrade</t>
  </si>
  <si>
    <t>Allowance for duty/standby compressors, dryer/filter/control repairs or replacement components</t>
  </si>
  <si>
    <t>Matara equipment schedule: Medical Air</t>
  </si>
  <si>
    <t>Complete replacement to be separately quoted if required.</t>
  </si>
  <si>
    <t>MG-R03</t>
  </si>
  <si>
    <t>Medical vacuum source overhaul/upgrade</t>
  </si>
  <si>
    <t>Allowance for pumps, receiver, bacterial filters, controls and commissioning</t>
  </si>
  <si>
    <t>Matara equipment schedule: Vacuum</t>
  </si>
  <si>
    <t>MG-R04</t>
  </si>
  <si>
    <t>AGSS plant / source upgrade</t>
  </si>
  <si>
    <t>AGSS source and exhaust arrangement for four OTs</t>
  </si>
  <si>
    <t>Matara equipment schedule: AGSS outlets</t>
  </si>
  <si>
    <t>Verify existing AGSS installation.</t>
  </si>
  <si>
    <t>MG-R05</t>
  </si>
  <si>
    <t>15 mm medical-gas copper pipeline installed</t>
  </si>
  <si>
    <t>Degreased tube, fittings, nitrogen-purge brazing, supports, identification and testing allowance</t>
  </si>
  <si>
    <t>Specialist market allowance</t>
  </si>
  <si>
    <t>Final rate depends on tube brand/specification and route/access.</t>
  </si>
  <si>
    <t>MG-R06</t>
  </si>
  <si>
    <t>22 mm medical-gas copper pipeline installed</t>
  </si>
  <si>
    <t>As above</t>
  </si>
  <si>
    <t>MG-R07</t>
  </si>
  <si>
    <t>28 mm medical-gas copper pipeline installed</t>
  </si>
  <si>
    <t>MG-R08</t>
  </si>
  <si>
    <t>35 mm medical-gas copper pipeline installed</t>
  </si>
  <si>
    <t>MG-R09</t>
  </si>
  <si>
    <t>42 mm medical-gas copper pipeline installed</t>
  </si>
  <si>
    <t>MG-R10</t>
  </si>
  <si>
    <t>Four-service OT AVSU</t>
  </si>
  <si>
    <t>Lockable valve box, service valves, gauges/test points and labels</t>
  </si>
  <si>
    <t>ISO 7396-1 zoning requirement</t>
  </si>
  <si>
    <t>Final service count may change.</t>
  </si>
  <si>
    <t>MG-R11</t>
  </si>
  <si>
    <t>Three-service Recovery/ICU AVSU</t>
  </si>
  <si>
    <t>O2 / Medical Air / Vacuum zone-valve assembly</t>
  </si>
  <si>
    <t>Matara RDS clinical zones</t>
  </si>
  <si>
    <t>MG-R12</t>
  </si>
  <si>
    <t>Area medical-gas alarm panel</t>
  </si>
  <si>
    <t>Multi-service pressure/vacuum monitoring panel with audible/visual alarms</t>
  </si>
  <si>
    <t>ISO 7396-1</t>
  </si>
  <si>
    <t>MG-R13</t>
  </si>
  <si>
    <t>Individual non-OT medical-gas terminal outlet</t>
  </si>
  <si>
    <t>First/second fix terminal, service identity and final connection</t>
  </si>
  <si>
    <t>Matara RDS + modular package benchmark</t>
  </si>
  <si>
    <t>Modular OT E3 rate is not reused for its terminal boxes.</t>
  </si>
  <si>
    <t>MG-R14</t>
  </si>
  <si>
    <t>OT terminal-box / pendant pipeline interface</t>
  </si>
  <si>
    <t>Four-service pipe tails, final brazing, test and labels; excludes terminal hardware</t>
  </si>
  <si>
    <t>Modular OT E3 boundary</t>
  </si>
  <si>
    <t>Coordinate exact physical handover point.</t>
  </si>
  <si>
    <t>KEY QUANTITY / SCOPE ASSUMPTIONS</t>
  </si>
  <si>
    <t>Matara RDS schedule identifies 8 Recovery Bays, 1 Isolation Recovery, 6 ICU bed spaces and 2 Isolation ICU bed spaces = 17 patient spaces.</t>
  </si>
  <si>
    <t>The estimate assumes a minimum one Oxygen, one Medical Air and one Vacuum outlet at each of the 17 non-OT patient spaces = 51 outlets. Clinical confirmation is required.</t>
  </si>
  <si>
    <t>The Modular OT package already contains 8 medical-gas terminal boxes (two per theatre) and four anaesthetist pendants plus four surgical pendant/monitor allowances; these hardware items are excluded here.</t>
  </si>
  <si>
    <t>Medical-gas copper pipeline quantities are preliminary allowances pending an exact CAD takeoff from the final coordinated medical-gas drawing and verified existing-service survey.</t>
  </si>
  <si>
    <t>The Matara equipment schedule lists Oxygen, Medical Air, Vacuum and AGSS outlets. Nitrous oxide is not included in this estimate unless later confirmed by the clinical brief/drawing.</t>
  </si>
  <si>
    <t>All specialist rates are budgetary installed allowances exclusive of VAT and should be replaced/validated by current quotations from competent medical-gas contractors before tender approval.</t>
  </si>
  <si>
    <t>7</t>
  </si>
  <si>
    <t>Testing, commissioning and certification are to comply with ISO 7396-1 / ISO 9170-1 and adopted Ministry of Health requirements.</t>
  </si>
  <si>
    <t>DISTRICT GENERAL HOSPITAL MATARA – WATER SUPPLY SYSTEM BOQ &amp; ENGINEER'S ESTIMATE</t>
  </si>
  <si>
    <t>Preliminary estimate for the renovated operating-theatre complex based on the uploaded WS drawing, room layout and existing consolidated BOQ. Sanitary fixtures, scrub sinks, redundant-water-line demolition, MVAC water systems and drainage are excluded where already measured or belonging to other packages.</t>
  </si>
  <si>
    <t>A - Survey, design &amp; interfaces</t>
  </si>
  <si>
    <t>Detailed survey and tracing of the existing domestic-water system serving the theatre complex; verify live mains, pressures, routes, available source capacity and connection points; prepare hydraulic calculations, coordinated water-supply schematic/shop drawings, pipe sizing, valve schedule, penetration/support details and builders-work information.</t>
  </si>
  <si>
    <t>Uploaded Matara Hospital - MEP - WS.dwg / room layout</t>
  </si>
  <si>
    <t>Exact pipe lengths and pump duty to be confirmed from final CAD/shop drawings and site survey.</t>
  </si>
  <si>
    <t>Connection to existing hospital domestic cold-water main including planned shutdown, isolation, drain-down, cut-in, new branch connection, temporary capping/bypass where required, reinstatement and making good, complete.</t>
  </si>
  <si>
    <t>Engineer provisional refurbishment allowance</t>
  </si>
  <si>
    <t>Existing hospital interface</t>
  </si>
  <si>
    <t>Existing redundant-line removal already measured under Added Renovation BOQ</t>
  </si>
  <si>
    <t>Coordinate shutdown with hospital engineering staff.</t>
  </si>
  <si>
    <t>B - Cold-water pumping / pressure</t>
  </si>
  <si>
    <t>Supply, install, test and commission packaged domestic cold-water transfer/booster pump set comprising two pumps arranged duty/standby, vertical multistage or approved equivalent, complete with common skid, isolation/check valves, flexible connectors, pressure gauges, dry-run protection, pressure controls, local control panel/VFDs as required, automatic duty changeover, alarms and all accessories. Final flow/head to approved hydraulic calculation.</t>
  </si>
  <si>
    <t>Uploaded WS drawing – pump indicated; final duty not available from extracted drawing</t>
  </si>
  <si>
    <t>Not included in Modular OT / MVAC BOQs</t>
  </si>
  <si>
    <t>Electrical feeder to pump control panel to be measured under the Electrical BOQ.</t>
  </si>
  <si>
    <t>Supply and install potable-water pressure vessel / hydropneumatic accumulator, nominal 200–300 litre capacity or as selected, rated for system working pressure, complete with isolating valve, drain, pressure gauge and flexible connection.</t>
  </si>
  <si>
    <t>Associated booster-set allowance</t>
  </si>
  <si>
    <t>Not duplicated</t>
  </si>
  <si>
    <t>Final size to pump manufacturer's selection.</t>
  </si>
  <si>
    <t>C - Cold-water distribution</t>
  </si>
  <si>
    <t>Supply and install pressure-rated uPVC / approved cold-water pipe, nominal 15 mm (1/2 in), including sockets/fittings, supports/clips, sleeves, cutting and making good, identification and all incidental accessories.</t>
  </si>
  <si>
    <t>Matara BSR 2026 PB46 base rate with hospital-refurbishment uplift</t>
  </si>
  <si>
    <t>Matara BSR 2026 / uploaded WS drawing</t>
  </si>
  <si>
    <t>Fixtures excluded</t>
  </si>
  <si>
    <t>BSR PB46 base: LKR 620/m.</t>
  </si>
  <si>
    <t>As above, nominal 20 mm (3/4 in) pressure-rated cold-water pipe.</t>
  </si>
  <si>
    <t>Matara BSR 2026 PB47 base rate with hospital-refurbishment uplift</t>
  </si>
  <si>
    <t>BSR PB47 base: LKR 875/m.</t>
  </si>
  <si>
    <t>As above, nominal 25 mm (1 in) pressure-rated cold-water pipe.</t>
  </si>
  <si>
    <t>Engineer qualified rate using Matara BSR pipe series</t>
  </si>
  <si>
    <t>PB48 published rate appears anomalously low; qualified estimating rate adopted pending supplier quotation.</t>
  </si>
  <si>
    <t>As above, nominal 32 mm (1-1/4 in) pressure-rated cold-water pipe.</t>
  </si>
  <si>
    <t>Matara BSR 2026 PB49 base plus hospital installation allowance</t>
  </si>
  <si>
    <t>BSR PB49 base: LKR 510/m; allowance includes suspended routing/support and fittings.</t>
  </si>
  <si>
    <t>As above, nominal 40 mm (1-1/2 in) pressure-rated cold-water pipe.</t>
  </si>
  <si>
    <t>Matara BSR 2026 PB50 base plus hospital installation allowance</t>
  </si>
  <si>
    <t>BSR PB50 base: LKR 875/m.</t>
  </si>
  <si>
    <t>As above, nominal 50 mm (2 in) pressure-rated cold-water pipe.</t>
  </si>
  <si>
    <t>Matara BSR 2026 PB51 base plus hospital installation allowance</t>
  </si>
  <si>
    <t>BSR PB51 base: LKR 1,210/m.</t>
  </si>
  <si>
    <t>Approved service isolation / stop valves up to 20 mm complete with unions/adaptors, identification and accessible installation.</t>
  </si>
  <si>
    <t>Matara BSR PB75/PB76 benchmark upgraded to hospital-grade valve</t>
  </si>
  <si>
    <t>Sanitary-fixture taps/angle valves excluded where included with fixture</t>
  </si>
  <si>
    <t>Use DZR brass / approved quality where accessible for maintenance.</t>
  </si>
  <si>
    <t>Approved full-bore isolation ball valves, 25–50 mm, suitable for potable-water service, including unions/flanges/adaptors and identification.</t>
  </si>
  <si>
    <t>Water-supply distribution</t>
  </si>
  <si>
    <t>Final quantity by valve schedule.</t>
  </si>
  <si>
    <t>Non-return valves, strainers and associated service fittings 25–50 mm for pump/main branches, complete.</t>
  </si>
  <si>
    <t>Pump / distribution interface</t>
  </si>
  <si>
    <t>Final sizes to approved hydraulic schematic.</t>
  </si>
  <si>
    <t>Supply and fix approved 1/2 in chromium-plated bib tap / hose point complete with wall plate, local isolation and final connection.</t>
  </si>
  <si>
    <t>Direct Matara BSR 2026 PB27 benchmark</t>
  </si>
  <si>
    <t>Matara BSR 2026 / WS drawing</t>
  </si>
  <si>
    <t>Excludes landscape watering points / hose bibs measured in Site Works - Reviewed</t>
  </si>
  <si>
    <t>Final internal/service hose-point locations only; coordinate with external landscape package.</t>
  </si>
  <si>
    <t>D - Hot-water services</t>
  </si>
  <si>
    <t>Supply and install 50 litre wall-mounted electric storage water heater of approved hospital-suitable quality, thermostatically controlled with safety/pressure relief valve, non-return valve and water-side connection accessories. Electrical power point/isolator excluded.</t>
  </si>
  <si>
    <t>2024 Department of Buildings benchmark updated as 2026 budget allowance</t>
  </si>
  <si>
    <t>Modular OT specification requires hot/cold water to scrub sinks</t>
  </si>
  <si>
    <t>Scrub sink itself already in Modular OT C1</t>
  </si>
  <si>
    <t>One heater allowed for each scrub zone; final capacity to clinical demand.</t>
  </si>
  <si>
    <t>Supply and install insulated PPR PN20 / approved hot-water pipe, nominal 20 mm, including fittings, supports, sleeves, vapour/thermal insulation, identification and making good.</t>
  </si>
  <si>
    <t>Engineer provisional installed market rate</t>
  </si>
  <si>
    <t>Scrub / support hot-water distribution</t>
  </si>
  <si>
    <t>Material to be confirmed against final WS specification.</t>
  </si>
  <si>
    <t>As above, insulated PPR PN20 / approved hot-water pipe, nominal 25 mm.</t>
  </si>
  <si>
    <t>Thermostatic mixing valve set for scrub-sink hot-water supply, complete with isolating valves, strainers/check valves and accessible mounting.</t>
  </si>
  <si>
    <t>Three scrub sink zones</t>
  </si>
  <si>
    <t>Scrub sink sensor taps remain in Modular OT package</t>
  </si>
  <si>
    <t>Final outlet temperature setting to clinical approval.</t>
  </si>
  <si>
    <t>Hot-water isolating valves up to 25 mm complete with unions/adaptors and identification.</t>
  </si>
  <si>
    <t>Hot-water distribution</t>
  </si>
  <si>
    <t>Final count by coordinated schematic.</t>
  </si>
  <si>
    <t>E - Fixture / equipment interfaces</t>
  </si>
  <si>
    <t>Provide final hot- and cold-water service connection to each modular three-bay scrub sink, including local isolation valves, flexible/rigid connection tails as approved, flushing and leak testing. Scrub sink, sensor taps and sink fittings excluded.</t>
  </si>
  <si>
    <t>Modular OT C1 / Modular OT specification</t>
  </si>
  <si>
    <t>Avoids duplication of scrub-sink hardware</t>
  </si>
  <si>
    <t>Coordinate connection location with modular OT supplier.</t>
  </si>
  <si>
    <t>Provide final hot- and cold-water service connection to non-OT sink/worktop units including local isolation and connection tails. Sink/worktop hardware excluded.</t>
  </si>
  <si>
    <t>Added Renovation BOQ G3 – RN-20 / RN-23</t>
  </si>
  <si>
    <t>Sink/worktop already measured in renovation BOQ</t>
  </si>
  <si>
    <t>Tea/dining and equipment-washing areas.</t>
  </si>
  <si>
    <t>Branch distribution and final water-supply connection allowance to WCs, wash-hand basins, showers/utility outlets and other sanitary fixtures within changing/staff/accessibility areas, including local stop valves and connection tails; sanitary fixtures themselves excluded.</t>
  </si>
  <si>
    <t>Added Renovation BOQ G1/G2; RN-27 and staff/changing/support areas</t>
  </si>
  <si>
    <t>Fixture hardware excluded to prevent duplication</t>
  </si>
  <si>
    <t>Replace with fixture-by-fixture point schedule before tender.</t>
  </si>
  <si>
    <t>Pipe sleeves, hygienic sealing and fire-stopping at wall/ceiling penetrations associated with the new domestic-water installation, including modular-wall interfaces, complete.</t>
  </si>
  <si>
    <t>Engineer provisional interface allowance</t>
  </si>
  <si>
    <t>Hospital renovation / modular-interface requirement</t>
  </si>
  <si>
    <t>General architectural making-good not duplicated</t>
  </si>
  <si>
    <t>Use approved fire/hygiene sealing system.</t>
  </si>
  <si>
    <t>Hydrostatic pressure testing, flushing, chlorination/disinfection and final flushing of the complete potable-water system; functional testing of pumps, valves and hot-water units; water-quality / bacteriological sampling where required and submission of test certificates.</t>
  </si>
  <si>
    <t>Engineer T&amp;C allowance</t>
  </si>
  <si>
    <t>Potable-water commissioning requirement</t>
  </si>
  <si>
    <t>Testing to approved method statement and hospital requirements.</t>
  </si>
  <si>
    <t>As-built water-supply drawings, hydraulic calculation record, valve schedule, pump/heater data, O&amp;M manuals, warranties, spare-parts recommendations and training of hospital engineering staff.</t>
  </si>
  <si>
    <t>Engineer deliverables allowance</t>
  </si>
  <si>
    <t>Project handover requirements</t>
  </si>
  <si>
    <t>Include final asset labels and maintenance schedules.</t>
  </si>
  <si>
    <t>WATER SUPPLY / MODULAR OT / RENOVATION / MVAC – SCOPE RECONCILIATION</t>
  </si>
  <si>
    <t>Treatment in Water-Supply BOQ</t>
  </si>
  <si>
    <t>Three-bay scrub sinks</t>
  </si>
  <si>
    <t>Modular OT C1 – 3 No</t>
  </si>
  <si>
    <t>EXCLUDED sink hardware; INCLUDED hot/cold service connection only</t>
  </si>
  <si>
    <t>Scrub sinks and sensor taps are already priced in Modular OT package</t>
  </si>
  <si>
    <t>Water-supply contractor terminates at approved sink connection points</t>
  </si>
  <si>
    <t>3 connection sets</t>
  </si>
  <si>
    <t>Freeze sink connection sizes/positions with modular supplier.</t>
  </si>
  <si>
    <t>Accessible toilet fixtures</t>
  </si>
  <si>
    <t>Added Renovation G1</t>
  </si>
  <si>
    <t>EXCLUDED fixture hardware; INCLUDED branch water supply only</t>
  </si>
  <si>
    <t>WC, basin, accessories already priced under architectural renovation</t>
  </si>
  <si>
    <t>Terminate at local angle/stop-valve connection point</t>
  </si>
  <si>
    <t>Branch/service allowance only</t>
  </si>
  <si>
    <t>Final fixture schedule to identify number and connection size.</t>
  </si>
  <si>
    <t>Staff/changing/utility sanitary fixtures</t>
  </si>
  <si>
    <t>Added Renovation G2</t>
  </si>
  <si>
    <t>EXCLUDED fixture hardware; INCLUDED branch/final water service</t>
  </si>
  <si>
    <t>Existing renovation BOQ contains fixture allowance but excludes distribution pipework</t>
  </si>
  <si>
    <t>Water BOQ covers main/branch pipework to fixture connection point</t>
  </si>
  <si>
    <t>LS branch allowance</t>
  </si>
  <si>
    <t>Replace LS with fixture-by-fixture points before tender.</t>
  </si>
  <si>
    <t>Tea/dining &amp; equipment-washing sinks</t>
  </si>
  <si>
    <t>Added Renovation G3 – 2 No</t>
  </si>
  <si>
    <t>EXCLUDED sink/worktop hardware; INCLUDED hot/cold final connection</t>
  </si>
  <si>
    <t>Sink/worktop already measured separately</t>
  </si>
  <si>
    <t>Water contractor provides local isolation and connection tails</t>
  </si>
  <si>
    <t>2 connections</t>
  </si>
  <si>
    <t>Coordinate tap type and hot-water demand.</t>
  </si>
  <si>
    <t>Redundant water/plumbing lines</t>
  </si>
  <si>
    <t>Added Renovation Section I / service strip-out</t>
  </si>
  <si>
    <t>Demolition/capping already allowed under enabling works</t>
  </si>
  <si>
    <t>New water-supply scope begins at approved retained system connection</t>
  </si>
  <si>
    <t>Confirm split if same specialist contractor carries both scopes.</t>
  </si>
  <si>
    <t>Cooling-tower makeup / chilled &amp; condenser water</t>
  </si>
  <si>
    <t>MVAC BOQ</t>
  </si>
  <si>
    <t>These are HVAC process-water systems, not domestic water supply</t>
  </si>
  <si>
    <t>Any domestic source branch to MVAC shall be assigned to one package only</t>
  </si>
  <si>
    <t>Confirm interface at coordination stage.</t>
  </si>
  <si>
    <t>Domestic drainage / soil &amp; waste</t>
  </si>
  <si>
    <t>Not included in this Water Supply BOQ</t>
  </si>
  <si>
    <t>Separate drainage package required</t>
  </si>
  <si>
    <t>Water BOQ stops at fixture water connection; drains/traps/mains separate</t>
  </si>
  <si>
    <t>Prepare drainage BOQ separately.</t>
  </si>
  <si>
    <t>Fire-water system</t>
  </si>
  <si>
    <t>Not part of uploaded domestic WS scope</t>
  </si>
  <si>
    <t>Fire protection is a separate life-safety system</t>
  </si>
  <si>
    <t>No interface except shared incoming utility where approved</t>
  </si>
  <si>
    <t>Price separately if fire-water alterations are required.</t>
  </si>
  <si>
    <t>Water-storage tank</t>
  </si>
  <si>
    <t>No confirmed capacity identified from accessible source information</t>
  </si>
  <si>
    <t>NOT PRICED as a new tank</t>
  </si>
  <si>
    <t>Avoid assuming replacement where existing hospital storage may be retained</t>
  </si>
  <si>
    <t>Booster set assumed connected to existing suitable source/storage</t>
  </si>
  <si>
    <t>Confirm existing tank capacity/condition and WS drawing requirement.</t>
  </si>
  <si>
    <t>Electrical supply to pump/heaters</t>
  </si>
  <si>
    <t>Future / separate Electrical BOQ</t>
  </si>
  <si>
    <t>EXCLUDED except local packaged controls</t>
  </si>
  <si>
    <t>Avoid double-counting electrical feeders/isolators</t>
  </si>
  <si>
    <t>Water package includes pump local controls; incoming feeder by electrical trade</t>
  </si>
  <si>
    <t>Coordinate loads and isolator positions.</t>
  </si>
  <si>
    <t>WATER SUPPLY ENGINEER'S ESTIMATE – RATE BASIS / ASSUMPTIONS</t>
  </si>
  <si>
    <t>Source / URL</t>
  </si>
  <si>
    <t>WS-R01</t>
  </si>
  <si>
    <t>15 mm (1/2 in) cold-water pipe</t>
  </si>
  <si>
    <t>BSR-based qualified rate</t>
  </si>
  <si>
    <t>Matara BSR PB46 = LKR 620/m; uplift for hospital suspended/concealed installation, supports and coordination</t>
  </si>
  <si>
    <t>Final material/specification to approved WS design.</t>
  </si>
  <si>
    <t>WS-R02</t>
  </si>
  <si>
    <t>20 mm (3/4 in) cold-water pipe</t>
  </si>
  <si>
    <t>Matara BSR PB47 = LKR 875/m; hospital-refurbishment uplift applied</t>
  </si>
  <si>
    <t>WS-R03</t>
  </si>
  <si>
    <t>25 mm (1 in) cold-water pipe</t>
  </si>
  <si>
    <t>Engineer qualified rate</t>
  </si>
  <si>
    <t>Matara BSR PB48 published value is anomalously low relative to adjacent sizes; conservative engineer rate used</t>
  </si>
  <si>
    <t>Replace by approved material quotation/rate analysis before tender.</t>
  </si>
  <si>
    <t>WS-R04</t>
  </si>
  <si>
    <t>32 mm (1-1/4 in) cold-water pipe</t>
  </si>
  <si>
    <t>Matara BSR PB49 base = LKR 510/m plus fittings/support/refurbishment allowance</t>
  </si>
  <si>
    <t>WS-R05</t>
  </si>
  <si>
    <t>40 mm (1-1/2 in) cold-water pipe</t>
  </si>
  <si>
    <t>Matara BSR PB50 base = LKR 875/m plus hospital installation allowance</t>
  </si>
  <si>
    <t>WS-R06</t>
  </si>
  <si>
    <t>50 mm (2 in) cold-water pipe</t>
  </si>
  <si>
    <t>Matara BSR PB51 base = LKR 1,210/m plus hospital installation allowance</t>
  </si>
  <si>
    <t>WS-R07</t>
  </si>
  <si>
    <t>1/2 in chromium-plated bib tap / hose point</t>
  </si>
  <si>
    <t>Direct BSR benchmark</t>
  </si>
  <si>
    <t>Matara BSR PB27</t>
  </si>
  <si>
    <t>Local valve/connection allowance may be adjusted after final details.</t>
  </si>
  <si>
    <t>WS-R08</t>
  </si>
  <si>
    <t>50 L electric storage water heater</t>
  </si>
  <si>
    <t>Updated government benchmark / budget allowance</t>
  </si>
  <si>
    <t>Department of Buildings BSR 2024 Q476 = LKR 143,968 installed; rounded/up-rated for 2026 budgeting</t>
  </si>
  <si>
    <t>https://www.buildings.gov.lk/images/news/im/BSR_2024_2272024.pdf</t>
  </si>
  <si>
    <t>Electrical feeder/isolator excluded.</t>
  </si>
  <si>
    <t>WS-R09</t>
  </si>
  <si>
    <t>20 mm insulated hot-water PPR</t>
  </si>
  <si>
    <t>Engineer market allowance</t>
  </si>
  <si>
    <t>Installed PPR PN20 + fittings/supports/insulation</t>
  </si>
  <si>
    <t>Specialist supplier quotation required</t>
  </si>
  <si>
    <t>No direct Matara BSR match identified.</t>
  </si>
  <si>
    <t>WS-R10</t>
  </si>
  <si>
    <t>25 mm insulated hot-water PPR</t>
  </si>
  <si>
    <t>WS-R11</t>
  </si>
  <si>
    <t>Duty/standby domestic booster pump set</t>
  </si>
  <si>
    <t>Twin multistage pump package with controls/VFD, valves and commissioning; final flow/head not yet confirmed</t>
  </si>
  <si>
    <t>Uploaded WS drawing / supplier quotation required</t>
  </si>
  <si>
    <t>Yes – minimum 3 quotes</t>
  </si>
  <si>
    <t>Rate can change materially with duty and brand.</t>
  </si>
  <si>
    <t>WS-R12</t>
  </si>
  <si>
    <t>Thermostatic mixing valve</t>
  </si>
  <si>
    <t>Hospital scrub service mixing valve with isolators/check/strainer arrangement</t>
  </si>
  <si>
    <t>Supplier quotation required</t>
  </si>
  <si>
    <t>Final selected product to infection-control/clinical approval.</t>
  </si>
  <si>
    <t>The uploaded source is a binary DWG; the estimate therefore uses preliminary pipe-length allowances and must be remeasured from the final coordinated CAD/PDF or contractor shop drawings.</t>
  </si>
  <si>
    <t>Cold-water material is budgeted as pressure-rated uPVC / approved equivalent using Matara BSR plumbing rates as the primary local benchmark.</t>
  </si>
  <si>
    <t>The Modular OT specification requires hot and cold water coordination to scrub sinks; three scrub-sink zones are already priced in the Modular OT package, so only water services and heaters are included here.</t>
  </si>
  <si>
    <t>No new domestic water-storage tank is included because the accessible source information does not establish a required new tank capacity. Existing storage/source suitability must be verified.</t>
  </si>
  <si>
    <t>Sanitary fixtures and non-OT sinks are already allowed in Added Renovation BOQ Section G; this Water Supply BOQ excludes those fixture bodies and prices distribution/connection only.</t>
  </si>
  <si>
    <t>Domestic drainage, sewer/soil/waste and stormwater works are excluded and should be measured in a separate drainage BOQ.</t>
  </si>
  <si>
    <t>MVAC chilled-water, condenser-water and cooling-tower makeup equipment remain within the MVAC package and are not duplicated here.</t>
  </si>
  <si>
    <t>8</t>
  </si>
  <si>
    <t>All new water-supply rates and totals are exclusive of VAT; specialist pump/hot-water rates should be validated by current quotations before tender approval.</t>
  </si>
  <si>
    <t>DISTRICT GENERAL HOSPITAL MATARA – WASTEWATER &amp; SEWERAGE SYSTEM BOQ &amp; ENGINEER'S ESTIMATE</t>
  </si>
  <si>
    <t>Preliminary estimate for sanitary wastewater/soil and sewerage works serving the renovated operating-theatre complex. Fixture bodies, modular scrub-sink hardware, redundant drainage demolition and MVAC condensate drains are excluded where already included in other packages.</t>
  </si>
  <si>
    <t>A - Survey, design &amp; enabling</t>
  </si>
  <si>
    <t>Detailed survey and tracing of existing sanitary wastewater, soil, vent and sewer connections serving the theatre complex; verify pipe routes, invert levels, existing manholes/inspection chambers and final connection point; prepare coordinated drainage schematic, pipe sizing/gradient calculations, setting-out information and shop drawings.</t>
  </si>
  <si>
    <t>Uploaded Matara Hospital - MEP - SW &amp; WW.dwg / room layout</t>
  </si>
  <si>
    <t>Exact lengths/inverts to be verified from final CAD/shop drawings and site survey.</t>
  </si>
  <si>
    <t>Temporary isolation, plugging/bypass, odour control and safe continuity arrangements required during alteration of the existing live drainage/sewer system, including temporary caps and reinstatement.</t>
  </si>
  <si>
    <t>Live hospital refurbishment condition</t>
  </si>
  <si>
    <t>Redundant pipe removal already measured in Added Renovation BOQ</t>
  </si>
  <si>
    <t>Coordinate shutdown/works with hospital engineering and infection-control teams.</t>
  </si>
  <si>
    <t>B - Internal waste / soil / vent pipework</t>
  </si>
  <si>
    <t>Supply and install 50 mm diameter uPVC sanitary waste pipe, approved heavy-duty/non-pressure grade, including normal bends/tees/reducers, solvent joints, supports/clamps, sleeves, access coordination, identification and local making good.</t>
  </si>
  <si>
    <t>BSR-qualified composite installed rate</t>
  </si>
  <si>
    <t>Matara BSR 2026 PB51 used as local small-bore PVC benchmark / uploaded SW &amp; WW drawing</t>
  </si>
  <si>
    <t>Fixture traps/hardware excluded</t>
  </si>
  <si>
    <t>Re-measure from final coordinated drawing.</t>
  </si>
  <si>
    <t>Supply and install 75 mm diameter uPVC sanitary waste pipe, including fittings, joints, supports/clamps, sleeves and access coordination, complete.</t>
  </si>
  <si>
    <t>Engineer qualified installed rate</t>
  </si>
  <si>
    <t>Uploaded SW &amp; WW drawing / Matara BSR pipe series benchmark</t>
  </si>
  <si>
    <t>No direct 75 mm BSR item identified; obtain supplier rate before tender.</t>
  </si>
  <si>
    <t>Supply and install 110 mm diameter uPVC soil/waste pipe, wall/ceiling mounted, including normal fittings, access fittings, wall clamps/supports and all accessories.</t>
  </si>
  <si>
    <t>Matara BSR PB54 base with hospital-refurbishment allowance</t>
  </si>
  <si>
    <t>Matara BSR 2026 / uploaded SW &amp; WW drawing</t>
  </si>
  <si>
    <t>PB54 base benchmark: LKR 2,290/m.</t>
  </si>
  <si>
    <t>Supply and install 50 mm diameter uPVC vent pipework including fittings, supports, roof/wall termination connection and identification, complete.</t>
  </si>
  <si>
    <t>Uploaded SW &amp; WW drawing / local PVC benchmark</t>
  </si>
  <si>
    <t>Vent termination caps/cowls measured separately where required.</t>
  </si>
  <si>
    <t>Access/cleanout fittings to sanitary pipework, including approved door bends/tees, rodding eyes or cleanout caps and accessible cover where concealed.</t>
  </si>
  <si>
    <t>Engineer composite allowance using PB55-PB60 fitting benchmarks</t>
  </si>
  <si>
    <t>Final count by drainage schematic.</t>
  </si>
  <si>
    <t>Vent terminal / cowl complete with weatherproof termination and insect protection as applicable.</t>
  </si>
  <si>
    <t>Drainage vent termination</t>
  </si>
  <si>
    <t>Final number/termination location to coordinated design.</t>
  </si>
  <si>
    <t>C - Floor drainage &amp; fixture interfaces</t>
  </si>
  <si>
    <t>Supply and install stainless-steel hygienic floor drain / floor trap, minimum SS304, removable grating and trapped outlet suitable for hospital wet/clinical areas, complete with waterproofing interface and connection to waste pipe.</t>
  </si>
  <si>
    <t>Engineer specialist market allowance</t>
  </si>
  <si>
    <t>Scrub rooms, equipment-washing, accessible toilet and changing/wet areas</t>
  </si>
  <si>
    <t>General floor finishes/waterproofing excluded</t>
  </si>
  <si>
    <t>Final locations to approved sanitary drainage plan.</t>
  </si>
  <si>
    <t>Trap/waste connection set to non-OT sink or basin where not integral with the sanitary fixture package, including bottle/P trap, waste coupling interface and branch connection.</t>
  </si>
  <si>
    <t>Support sinks/basins</t>
  </si>
  <si>
    <t>Fixture bodies already measured in Added Renovation BOQ</t>
  </si>
  <si>
    <t>Delete where trap/waste fitting is confirmed included with sanitary fixture.</t>
  </si>
  <si>
    <t>Branch drainage connection from each Modular OT scrub sink outlet to the sanitary waste system, including branch pipe, access fitting and final joint at agreed interface. Scrub sink, waste fitting/trap and sink hardware excluded.</t>
  </si>
  <si>
    <t>Modular OT C1 – three scrub sinks</t>
  </si>
  <si>
    <t>Avoids duplication of modular sink hardware</t>
  </si>
  <si>
    <t>Coordinate connection diameter/location with modular OT supplier.</t>
  </si>
  <si>
    <t>Branch drainage connection from non-OT sink/worktop units to sanitary waste system, including branch pipe and final joint. Sink/worktop hardware excluded.</t>
  </si>
  <si>
    <t>Sink/worktop already measured elsewhere</t>
  </si>
  <si>
    <t>Branch soil/waste connection allowance from WCs, wash-hand basins and other sanitary fixtures in accessible/staff/changing areas to the main sanitary drainage system, starting after fixture trap/pan connector; fixture bodies and integral traps excluded.</t>
  </si>
  <si>
    <t>Added Renovation BOQ G1/G2 / room layout</t>
  </si>
  <si>
    <t>Supply and install 150 x 150 mm plastic gully trap with cover or approved equivalent, including connection to sewer branch and local concrete surround/making good.</t>
  </si>
  <si>
    <t>Matara BSR PB92 base rate with small installation allowance</t>
  </si>
  <si>
    <t>PB92 base benchmark: LKR 4,700/No.</t>
  </si>
  <si>
    <t>Supply and install compact grease interceptor / grease trap to tea/dining sink waste line, including removable cover, inlet/outlet connections, vent connection and access for maintenance.</t>
  </si>
  <si>
    <t>RN-20 Tea and Dining Area</t>
  </si>
  <si>
    <t>Retain only if final plumbing design requires grease separation.</t>
  </si>
  <si>
    <t>D - Underground sewer &amp; chambers</t>
  </si>
  <si>
    <t>Supply and lay 110 mm diameter Type 600 uPVC non-pressure sewer pipe below ground, including excavation up to 600 mm depth, bedding, backfilling/compaction, fittings, alignment to required gradient and testing; final decorative surface reinstatement measured separately where applicable.</t>
  </si>
  <si>
    <t>Matara BSR PB52 base with refurbishment allowance</t>
  </si>
  <si>
    <t>PB52 base benchmark: LKR 2,390/m.</t>
  </si>
  <si>
    <t>Construct 600 x 600 mm approximately internal inspection chamber/manhole, nominal up to 600 mm deep, complete with concrete base/channel, rendered watertight walls, reinforced concrete cover slab and lifting handles, including connections to incoming/outgoing sewer pipes.</t>
  </si>
  <si>
    <t>Matara BSR BK13 benchmark with refurbishment allowance</t>
  </si>
  <si>
    <t>BK13 base benchmark: LKR 45,200/No.; final chamber size/depth to drawing.</t>
  </si>
  <si>
    <t>Connection to existing hospital sewer/manhole including excavation, core/cut opening, approved watertight flexible/sealed connection, benching/channel modification, testing and reinstatement, complete.</t>
  </si>
  <si>
    <t>Existing hospital sewer interface</t>
  </si>
  <si>
    <t>Connection point/invert to be confirmed by survey.</t>
  </si>
  <si>
    <t>Additional breaking/excavation through existing hard floor/paving and reinstatement of trench base/structural concrete associated with sanitary drainage routes where not covered by the BSR pipe item; final architectural floor finish excluded.</t>
  </si>
  <si>
    <t>Hospital refurbishment / underground routing</t>
  </si>
  <si>
    <t>Final floor finishes remain in renovation BOQ</t>
  </si>
  <si>
    <t>Use only where required after route confirmation.</t>
  </si>
  <si>
    <t>E - Penetrations &amp; hygiene/fire interfaces</t>
  </si>
  <si>
    <t>Pipe sleeves, acoustic/hygienic sealing and approved fire-stopping to drainage/vent pipe penetrations through rated walls/floors/ceilings and modular-wall interfaces, complete.</t>
  </si>
  <si>
    <t>Hospital / modular OT interface requirement</t>
  </si>
  <si>
    <t>Use tested fire-stop system appropriate to pipe material.</t>
  </si>
  <si>
    <t>Leak/water testing of soil, waste and sewer pipework, flow testing, inspection/rodding, odour/seal verification, cleaning and commissioning of the complete sanitary drainage system, with test records.</t>
  </si>
  <si>
    <t>Sanitary drainage commissioning requirement</t>
  </si>
  <si>
    <t>Testing to approved method statement.</t>
  </si>
  <si>
    <t>CCTV inspection / internal visual survey of new underground sewer runs and final tie-in where practicable, including report and recording before handover.</t>
  </si>
  <si>
    <t>Quality-control allowance for concealed sewer works</t>
  </si>
  <si>
    <t>May be omitted if Engineer accepts alternative verification method.</t>
  </si>
  <si>
    <t>As-built sanitary drainage/sewer drawings, invert schedule, chamber register, O&amp;M instructions and maintenance/rodding access schedule, including training/briefing to hospital engineering staff.</t>
  </si>
  <si>
    <t>Include final asset/valve/chamber identification.</t>
  </si>
  <si>
    <t>WASTEWATER / SEWERAGE – SCOPE RECONCILIATION WITH OTHER MATARA PACKAGES</t>
  </si>
  <si>
    <t>Treatment in Wastewater BOQ</t>
  </si>
  <si>
    <t>Three modular scrub sinks</t>
  </si>
  <si>
    <t>Modular OT C1 – 3 No; sink description includes drainage connection hardware</t>
  </si>
  <si>
    <t>EXCLUDED sink/trap hardware; INCLUDED branch drainage from agreed outlet interface</t>
  </si>
  <si>
    <t>Avoid duplicate sink hardware while providing connection to building drainage</t>
  </si>
  <si>
    <t>Wastewater contractor starts at agreed outlet after modular sink trap/waste assembly</t>
  </si>
  <si>
    <t>3 branch connections</t>
  </si>
  <si>
    <t>Freeze outlet size/location with modular supplier.</t>
  </si>
  <si>
    <t>Accessible toilet sanitary fixtures</t>
  </si>
  <si>
    <t>EXCLUDED fixture bodies; INCLUDED soil/waste branch after fixture trap/pan connector</t>
  </si>
  <si>
    <t>WC/basin/accessories already priced in renovation BOQ</t>
  </si>
  <si>
    <t>Drainage contractor provides downstream sanitary pipework</t>
  </si>
  <si>
    <t>Included in branch LS</t>
  </si>
  <si>
    <t>Issue final sanitary fixture schedule.</t>
  </si>
  <si>
    <t>EXCLUDED fixture bodies; INCLUDED downstream branch waste/soil system</t>
  </si>
  <si>
    <t>Renovation BOQ already includes fixture allowance</t>
  </si>
  <si>
    <t>Boundary after fixture trap/pan connector</t>
  </si>
  <si>
    <t>Replace LS with fixture-by-fixture takeoff.</t>
  </si>
  <si>
    <t>Tea/dining and equipment-washing sinks</t>
  </si>
  <si>
    <t>EXCLUDED sink/worktop hardware; INCLUDED waste branch connection</t>
  </si>
  <si>
    <t>Sink units already measured separately</t>
  </si>
  <si>
    <t>Wastewater contractor connects to sink outlet/trap interface</t>
  </si>
  <si>
    <t>Confirm grease-trap requirement for RN-20.</t>
  </si>
  <si>
    <t>Redundant plumbing/drainage strip-out</t>
  </si>
  <si>
    <t>Added Renovation Section I</t>
  </si>
  <si>
    <t>Existing-service removal/capping already allowed</t>
  </si>
  <si>
    <t>New wastewater scope starts after approved demolition handover</t>
  </si>
  <si>
    <t>Confirm trade boundary in tender preliminaries.</t>
  </si>
  <si>
    <t>MVAC condensate drains</t>
  </si>
  <si>
    <t>MVAC BOQ D4</t>
  </si>
  <si>
    <t>FCU/AHU condensate drains are HVAC scope</t>
  </si>
  <si>
    <t>Any final discharge into sanitary system must be coordinated once and not remeasured</t>
  </si>
  <si>
    <t>Define connection points on coordinated MEP drawing.</t>
  </si>
  <si>
    <t>Water supply pipework</t>
  </si>
  <si>
    <t>Water Supply BOQ</t>
  </si>
  <si>
    <t>Separate domestic-water package</t>
  </si>
  <si>
    <t>Only drainage from plumbing fixtures included here</t>
  </si>
  <si>
    <t>Coordinate penetrations/routes.</t>
  </si>
  <si>
    <t>Stormwater / roof drainage</t>
  </si>
  <si>
    <t>Not requested under wastewater &amp; sewerage package</t>
  </si>
  <si>
    <t>EXCLUDED unless specifically shown as sanitary discharge interface</t>
  </si>
  <si>
    <t>Roof/surface water should remain separate from foul sewer</t>
  </si>
  <si>
    <t>Separate stormwater BOQ if alterations are required</t>
  </si>
  <si>
    <t>Confirm drawing title/legend and whether SW means stormwater on final issue.</t>
  </si>
  <si>
    <t>New septic tank / soakage pit</t>
  </si>
  <si>
    <t>No confirmed requirement for theatre renovation</t>
  </si>
  <si>
    <t>Assumed connection to existing hospital sewerage system</t>
  </si>
  <si>
    <t>Final connection at existing sewer/manhole</t>
  </si>
  <si>
    <t>Add only if site survey confirms no suitable sewer connection.</t>
  </si>
  <si>
    <t>Sewage ejector/lifting station</t>
  </si>
  <si>
    <t>No evidence in accessible design basis</t>
  </si>
  <si>
    <t>Ground-floor system assumed to drain by gravity</t>
  </si>
  <si>
    <t>Add if invert survey shows gravity drainage is not achievable.</t>
  </si>
  <si>
    <t>WASTEWATER &amp; SEWERAGE ENGINEER'S ESTIMATE – RATE BASIS / ASSUMPTIONS</t>
  </si>
  <si>
    <t>WW-R01</t>
  </si>
  <si>
    <t>50 mm internal sanitary waste pipe</t>
  </si>
  <si>
    <t>BSR-qualified composite rate</t>
  </si>
  <si>
    <t>PB51 (2 in PVC pressure pipe) LKR 1,210/m used only as a local PVC/material-installation benchmark; uplift for sanitary fittings/supports</t>
  </si>
  <si>
    <t>Final approved sanitary uPVC series to be confirmed.</t>
  </si>
  <si>
    <t>WW-R02</t>
  </si>
  <si>
    <t>75 mm internal sanitary waste pipe</t>
  </si>
  <si>
    <t>No direct 75 mm sanitary BSR item identified; interpolated from local PVC pipe/fitting rates with hospital supports/fittings</t>
  </si>
  <si>
    <t>Obtain supplier/contractor quotation before tender.</t>
  </si>
  <si>
    <t>WW-R03</t>
  </si>
  <si>
    <t>110 mm wall-mounted soil/waste pipe</t>
  </si>
  <si>
    <t>Matara BSR PB54 = LKR 2,290/m; uplift for hospital renovation, normal fittings and coordination</t>
  </si>
  <si>
    <t>Separate unusual fittings/access panels may be measured if material.</t>
  </si>
  <si>
    <t>WW-R04</t>
  </si>
  <si>
    <t>110 mm buried Type 600 sewer pipe</t>
  </si>
  <si>
    <t>Matara BSR PB52 = LKR 2,390/m; allowance added for refurbishment coordination</t>
  </si>
  <si>
    <t>PB52 includes excavation to 600 mm depth; final surface finishes excluded.</t>
  </si>
  <si>
    <t>WW-R05</t>
  </si>
  <si>
    <t>150 x 150 plastic gully trap</t>
  </si>
  <si>
    <t>Matara BSR PB92 = LKR 4,700/No. plus local surround/connection allowance</t>
  </si>
  <si>
    <t>WW-R06</t>
  </si>
  <si>
    <t>600 x 600 inspection chamber/manhole</t>
  </si>
  <si>
    <t>Matara BSR BK13 = LKR 45,200/No. for approx. 2 ft x 2 ft x 2 ft chamber including base/channel/cover slab; uplift for tie-ins/refurbishment</t>
  </si>
  <si>
    <t>Final chamber depth/cover class to drawing.</t>
  </si>
  <si>
    <t>WW-R07</t>
  </si>
  <si>
    <t>SS304 hygienic floor drain</t>
  </si>
  <si>
    <t>Hospital-grade stainless floor drain with trapped outlet and cleanable removable grate</t>
  </si>
  <si>
    <t>Not directly covered by Matara BSR.</t>
  </si>
  <si>
    <t>WW-R08</t>
  </si>
  <si>
    <t>Grease interceptor to pantry/tea sink</t>
  </si>
  <si>
    <t>Compact accessible grease trap including connections</t>
  </si>
  <si>
    <t>Delete if final design confirms no grease separation is required.</t>
  </si>
  <si>
    <t>WW-R09</t>
  </si>
  <si>
    <t>Drainage cleanout/access fitting</t>
  </si>
  <si>
    <t>Composite BSR-based allowance</t>
  </si>
  <si>
    <t>PB55-PB60 110 mm PVC bends/tees/Y fittings range about LKR 1,630–3,010 each; allowance includes access cover, installation and hospital coordination</t>
  </si>
  <si>
    <t>Final size/type to drain route.</t>
  </si>
  <si>
    <t>The uploaded SW &amp; WW source is a binary AutoCAD DWG. Exact entity-based pipe lengths/invert data were not recoverable in the spreadsheet workflow, so pipe quantities are preliminary allowances and must be remeasured from the final coordinated CAD/PDF/shop drawings.</t>
  </si>
  <si>
    <t>The architectural room layout identifies scrub areas, RN-20 Tea and Dining Area, RN-23 Equipment Washing Room, RN-27 Accessible Toilet and staff changing/support rooms; these form the principal sanitary drainage demand points.</t>
  </si>
  <si>
    <t>Ten hospital-grade floor drains are allowed provisionally for scrub/wet/equipment-washing/changing areas. Final count and outlet sizes require the sanitary layout.</t>
  </si>
  <si>
    <t>A gravity connection to the existing hospital sewer is assumed. No new septic tank, soakage pit or sewage lifting station has been included.</t>
  </si>
  <si>
    <t>Stormwater/roof drainage is excluded from this foul wastewater/sewerage estimate. If 'SW' on the final drawing denotes stormwater rather than soil/sewer waste, prepare a separate stormwater BOQ.</t>
  </si>
  <si>
    <t>Sanitary fixture bodies, sinks and modular scrub-sink hardware are excluded because they are already priced in Added Renovation / Modular OT packages; downstream drainage connections are included.</t>
  </si>
  <si>
    <t>MVAC condensate drains are excluded because they are already included in the MVAC package.</t>
  </si>
  <si>
    <t>Final architectural floor finishes after pipe trenching remain in the renovation BOQ; this package includes only structural/local trench reinstatement necessary for the drainage work.</t>
  </si>
  <si>
    <t>9</t>
  </si>
  <si>
    <t>All rates and totals are exclusive of VAT. Provisional/specialist items should be validated by current supplier/contractor quotations before tender approval.</t>
  </si>
  <si>
    <t>DISTRICT GENERAL HOSPITAL MATARA – RAINWATER DISPOSAL SYSTEM BOQ &amp; ENGINEER'S ESTIMATE</t>
  </si>
  <si>
    <t>Special design emphasis: courtyard rainwater is to be collected positively and diverted in a fully closed, maintainable pipe system across/over the first-floor slab through the building to an external discharge point. Provide independent emergency overflow so blockage of the primary system cannot flood the courtyard or theatre complex.</t>
  </si>
  <si>
    <t>A - Survey, hydraulic design &amp; coordination</t>
  </si>
  <si>
    <t>Detailed survey of roof/courtyard catchments, existing rainwater outlets, slab levels, parapets and available external surface-drain connection points; prepare hydraulic sizing based on approved design rainfall, coordinated plan/profile showing invert levels and falls, first-floor slab crossing route, outlet/overflow details, supports, sleeves, access points and discharge connections.</t>
  </si>
  <si>
    <t>Engineer design allowance</t>
  </si>
  <si>
    <t>User design instruction + Matara MEP/architectural coordination</t>
  </si>
  <si>
    <t>Final pipe diameter/number must be confirmed by hydraulic calculation before tender/construction.</t>
  </si>
  <si>
    <t>B - Courtyard collection &amp; waterproofing</t>
  </si>
  <si>
    <t>Form/adjust cement-sand screed to courtyard slab to positive falls toward rainwater collection points, including preparation, bonding agent, local fillets and making good, without reducing required door thresholds or compromising waterproofing.</t>
  </si>
  <si>
    <t>Engineer provisional refurbishment rate</t>
  </si>
  <si>
    <t>Courtyard – provisional area allowance</t>
  </si>
  <si>
    <t>General internal floor finishes excluded</t>
  </si>
  <si>
    <t>Final courtyard area and levels to measured survey.</t>
  </si>
  <si>
    <t>Provide approved flexible waterproofing membrane system to courtyard slab including surface preparation, primer, reinforced corners, minimum 300 mm upstands at walls/kerbs, detailing around rainwater outlets/penetrations and protective layer where required; complete with 48-hour pond test before covering.</t>
  </si>
  <si>
    <t>Engineer provisional waterproofing allowance</t>
  </si>
  <si>
    <t>Courtyard – high-risk rainwater interface</t>
  </si>
  <si>
    <t>Separate from toilet/wet-area waterproofing in renovation BOQ</t>
  </si>
  <si>
    <t>Critical item due to occupied/clinical spaces below or adjacent.</t>
  </si>
  <si>
    <t>Supply and install heavy-duty courtyard linear channel drain with removable stainless-steel / hot-dip galvanized grating, trapped/silt-controlled outlet where required, complete with concrete bedding/haunch, falls, end caps and connection to rainwater pipe.</t>
  </si>
  <si>
    <t>Courtyard collection – provisional</t>
  </si>
  <si>
    <t>Not included in Site Works surface drainage</t>
  </si>
  <si>
    <t>Final channel length/section to courtyard grading plan.</t>
  </si>
  <si>
    <t>Supply and install heavy-duty rainwater outlet / roof drain, minimum 150 mm outlet connection, with stainless-steel dome/leaf guard and removable silt basket, clamping flange compatible with waterproofing membrane and access for maintenance.</t>
  </si>
  <si>
    <t>Courtyard primary outlets</t>
  </si>
  <si>
    <t>Provide minimum two independent primary collection points.</t>
  </si>
  <si>
    <t>Provide independent emergency overflow/scupper from courtyard, sized to safely discharge externally if the primary drainage system is blocked, including stainless/HDPE outlet sleeve, weathering, external discharge piece and splash protection.</t>
  </si>
  <si>
    <t>Engineer flood-resilience allowance</t>
  </si>
  <si>
    <t>Courtyard emergency overflow</t>
  </si>
  <si>
    <t>Overflow invert to be above normal ponding level but below vulnerable thresholds.</t>
  </si>
  <si>
    <t>C - Courtyard first-floor slab crossing</t>
  </si>
  <si>
    <t>Supply and install fusion-welded HDPE PE100 rainwater carrier pipe, provisional 160 mm OD, laid across/over the first-floor slab through the building at continuous positive fall to the external wall, including fittings, long-radius bends, electrofusion/butt-fusion joints, anchor/fixed points, expansion allowance and identification. Final diameter to hydraulic calculation.</t>
  </si>
  <si>
    <t>Engineer specialist installed allowance</t>
  </si>
  <si>
    <t>Special courtyard crossing requested by Employer</t>
  </si>
  <si>
    <t>Not part of wastewater/sewer BOQ</t>
  </si>
  <si>
    <t>Fusion-welded HDPE selected provisionally to minimise leakage risk inside the building.</t>
  </si>
  <si>
    <t>Provide rigid supports and protective service kerb/tray/chase to rainwater carrier pipe across the first-floor slab, including galvanized/stainless brackets, vibration/isolation pads where required, removable access covers or concrete protection where exposed to traffic, maintaining drainage fall and full maintainability.</t>
  </si>
  <si>
    <t>Engineer interface/protection allowance</t>
  </si>
  <si>
    <t>First-floor slab crossing</t>
  </si>
  <si>
    <t>General structural slab excluded</t>
  </si>
  <si>
    <t>Do not bury inaccessible joints beneath permanent finishes without approved access strategy.</t>
  </si>
  <si>
    <t>Supply and install external/downward continuation of courtyard rainwater line in heavy-duty HDPE/uPVC, provisional 160 mm diameter, from first-floor crossing discharge point to ground-level surface drain, complete with brackets at approved centres, offsets/bends, expansion allowance and weather-resistant fixing.</t>
  </si>
  <si>
    <t>Courtyard discharge riser/downpipe</t>
  </si>
  <si>
    <t>External surface drain itself remains in Site Works BOQ</t>
  </si>
  <si>
    <t>Final routing to minimize façade impact and allow maintenance.</t>
  </si>
  <si>
    <t>Inspection/cleanout access points to enclosed courtyard rainwater system, including removable bolted/rodding access fitting and access panel where concealed, complete.</t>
  </si>
  <si>
    <t>Engineer maintenance allowance</t>
  </si>
  <si>
    <t>At changes of direction and before/after building crossing</t>
  </si>
  <si>
    <t>Locations to be accessible without entering sterile operating rooms where practicable.</t>
  </si>
  <si>
    <t>Core openings/sleeves through walls/parapets for rainwater carrier pipes, including puddle flange/waterproof collar where exposed to weather, approved fire/acoustic seal where crossing rated construction, non-shrink making good and hygiene sealing.</t>
  </si>
  <si>
    <t>Building-crossing penetrations</t>
  </si>
  <si>
    <t>General wall finishes excluded</t>
  </si>
  <si>
    <t>No structural beam/slab cutting without Structural Engineer approval.</t>
  </si>
  <si>
    <t>D - General roof rainwater items</t>
  </si>
  <si>
    <t>Supply and fix 100 mm square PVC eaves gutter or approved equivalent, complete with brackets, joints, end caps and fittings.</t>
  </si>
  <si>
    <t>Matara BSR 2026 PB82 series benchmark</t>
  </si>
  <si>
    <t>Ancillary roof schedule R.08-R.12 now governs gutters/downpipes/tie-ins</t>
  </si>
  <si>
    <t>REMOVED - covered by Ancillary Roof BOQ</t>
  </si>
  <si>
    <t>Zeroed in consolidated estimate to avoid duplication.</t>
  </si>
  <si>
    <t>Supply and fix 90 mm diameter PVC rainwater downpipe complete with elbows, galvanized brackets at approved centres and connection to discharge point.</t>
  </si>
  <si>
    <t>Matara BSR 2026 PB83/PB83a benchmark</t>
  </si>
  <si>
    <t>Extra over gutter for running head/nozzle, end cap, mitre/angle and similar outlet fittings complete with brackets and sealant.</t>
  </si>
  <si>
    <t>BSR/Engineer composite fitting allowance</t>
  </si>
  <si>
    <t>Matara BSR 2026 PB85-PB87 equivalents</t>
  </si>
  <si>
    <t>Connection of rainwater downpipe/carrier pipe to existing external surface drain/catchpit, including local breaking, concrete/benching, sealed connection, splash/erosion protection and making good.</t>
  </si>
  <si>
    <t>Existing Site Works surface drainage</t>
  </si>
  <si>
    <t>E - Testing &amp; handover</t>
  </si>
  <si>
    <t>Water test / hose test and controlled flood/flow test of courtyard outlets, first-floor carrier route, downpipes and discharge connections; verify no leakage, backfall, unacceptable ponding or overflow toward the theatre complex; clean all outlets and submit test records.</t>
  </si>
  <si>
    <t>Rainwater critical-performance testing</t>
  </si>
  <si>
    <t>Include pond test of waterproofing before final finishes.</t>
  </si>
  <si>
    <t>As-built rainwater disposal drawings with pipe sizes, invert/fall data, outlet/overflow locations, cleanout/access schedule and maintenance instructions; include photographs of concealed slab-crossing work before covering.</t>
  </si>
  <si>
    <t>Project handover requirement</t>
  </si>
  <si>
    <t>Include emergency-overflow maintenance notes.</t>
  </si>
  <si>
    <t>RAINWATER DISPOSAL – SCOPE RECONCILIATION WITH MATARA BOQ PACKAGES</t>
  </si>
  <si>
    <t>Treatment in Rainwater BOQ</t>
  </si>
  <si>
    <t>Existing/new external surface drains</t>
  </si>
  <si>
    <t>Site Works - Unchanged, Section D</t>
  </si>
  <si>
    <t>EXCLUDED except final pipe/catchpit tie-in</t>
  </si>
  <si>
    <t>External drain cleaning/construction and covers are already priced</t>
  </si>
  <si>
    <t>Rainwater BOQ terminates at connection into existing/new surface drain</t>
  </si>
  <si>
    <t>3 tie-ins</t>
  </si>
  <si>
    <t>Confirm discharge points and capacities.</t>
  </si>
  <si>
    <t>Sanitary wastewater/sewer pipes</t>
  </si>
  <si>
    <t>Wastewater &amp; Sewerage BOQ</t>
  </si>
  <si>
    <t>Foul drainage must remain separate from stormwater/rainwater</t>
  </si>
  <si>
    <t>No cross-connection permitted</t>
  </si>
  <si>
    <t>Confirm final SW/WW drawing legend and route separation.</t>
  </si>
  <si>
    <t>HVAC condensate is already measured</t>
  </si>
  <si>
    <t>Any discharge into storm system to be coordinated once</t>
  </si>
  <si>
    <t>Identify final condensate discharge interface.</t>
  </si>
  <si>
    <t>Courtyard floor/screed finishes</t>
  </si>
  <si>
    <t>Added Renovation BOQ</t>
  </si>
  <si>
    <t>ONLY rainwater-specific regrading screed included</t>
  </si>
  <si>
    <t>Positive falls are critical to courtyard drainage performance</t>
  </si>
  <si>
    <t>Final decorative/architectural finishes remain in renovation scope</t>
  </si>
  <si>
    <t>100 m² provisional</t>
  </si>
  <si>
    <t>Coordinate final finish build-up and threshold levels.</t>
  </si>
  <si>
    <t>Courtyard waterproofing</t>
  </si>
  <si>
    <t>Not otherwise specifically measured for courtyard</t>
  </si>
  <si>
    <t>INCLUDED as dedicated high-risk rainwater item</t>
  </si>
  <si>
    <t>Courtyard and slab-crossing arrangement creates significant leakage risk</t>
  </si>
  <si>
    <t>Includes outlet/upstand detailing and pond test</t>
  </si>
  <si>
    <t>Confirm membrane system and substrate condition.</t>
  </si>
  <si>
    <t>User/Employer instruction</t>
  </si>
  <si>
    <t>INCLUDED as dedicated fusion-welded enclosed carrier route</t>
  </si>
  <si>
    <t>This is the critical project-specific rainwater diversion requirement</t>
  </si>
  <si>
    <t>From courtyard outlet to external building face</t>
  </si>
  <si>
    <t>35 m provisional</t>
  </si>
  <si>
    <t>Prepare profile drawing with exact falls and access points.</t>
  </si>
  <si>
    <t>Structural modifications</t>
  </si>
  <si>
    <t>Structural design / renovation works</t>
  </si>
  <si>
    <t>EXCLUDED except non-structural sleeves/core holes</t>
  </si>
  <si>
    <t>No beam/slab cutting should be assumed in plumbing rate</t>
  </si>
  <si>
    <t>Any structural opening/support requires Engineer approval</t>
  </si>
  <si>
    <t>Route below/over slab avoiding beams wherever possible.</t>
  </si>
  <si>
    <t>Emergency overflow</t>
  </si>
  <si>
    <t>Not present in other packages</t>
  </si>
  <si>
    <t>Courtyard blockage must not flood clinical/OT areas</t>
  </si>
  <si>
    <t>Independent discharge externally</t>
  </si>
  <si>
    <t>2 No</t>
  </si>
  <si>
    <t>Set overflow level below vulnerable door thresholds.</t>
  </si>
  <si>
    <t>Roof gutters/downpipes</t>
  </si>
  <si>
    <t>No dedicated rainwater package previously</t>
  </si>
  <si>
    <t>EXCLUDED from Rainwater package; measured in reviewed Ancillary Roof schedule</t>
  </si>
  <si>
    <t>Ancillary R.08-R.12 now provide gutter, downpipe and stormwater connection scope</t>
  </si>
  <si>
    <t>Discharge to existing external surface drainage</t>
  </si>
  <si>
    <t>Nil in Rainwater BOQ</t>
  </si>
  <si>
    <t>Retain only courtyard-specific drainage in Rainwater package; verify ancillary roof quantities.</t>
  </si>
  <si>
    <t>Rainwater harvesting/storage</t>
  </si>
  <si>
    <t>No requirement provided</t>
  </si>
  <si>
    <t>User requested disposal/diversion rather than storage/reuse</t>
  </si>
  <si>
    <t>Add only if Employer later requires harvesting.</t>
  </si>
  <si>
    <t>RAINWATER DISPOSAL ENGINEER'S ESTIMATE – RATE BASIS / DESIGN ASSUMPTIONS</t>
  </si>
  <si>
    <t>RW-R01</t>
  </si>
  <si>
    <t>100 mm square PVC eaves gutter</t>
  </si>
  <si>
    <t>Matara BSR 2026 PB82 series; floor-level/floor-specific rates approx. LKR 2,600/m around the published schedule</t>
  </si>
  <si>
    <t>Rounded up for renovation coordination and minor fittings.</t>
  </si>
  <si>
    <t>RW-R02</t>
  </si>
  <si>
    <t>90 mm PVC rainwater downpipe</t>
  </si>
  <si>
    <t>Matara BSR 2026 PB83 = LKR 2,390/m and PB83a first-floor = LKR 2,460/m; rounded for project allowance</t>
  </si>
  <si>
    <t>Use exact floor-specific rate after final routing.</t>
  </si>
  <si>
    <t>RW-R03</t>
  </si>
  <si>
    <t>Gutter heads/end caps/mitres</t>
  </si>
  <si>
    <t>BSR/Engineer composite allowance</t>
  </si>
  <si>
    <t>Matara BSR 2026 PB85-PB87 provide separate accessory rates; composite budget allowance used</t>
  </si>
  <si>
    <t>Final fitting type/count to roof layout.</t>
  </si>
  <si>
    <t>RW-R04</t>
  </si>
  <si>
    <t>160 mm fusion-welded HDPE rainwater carrier across building</t>
  </si>
  <si>
    <t>PE100 fusion-welded internal stormwater carrier, fittings, fusion joints, anchors/expansion provision and installation</t>
  </si>
  <si>
    <t>Specialist contractor quotation required</t>
  </si>
  <si>
    <t>Final diameter may increase after hydraulic calculation.</t>
  </si>
  <si>
    <t>RW-R05</t>
  </si>
  <si>
    <t>Protective support/service kerb or tray to first-floor crossing</t>
  </si>
  <si>
    <t>Heavy-duty supports plus accessible protection to pipe routed across/over occupied building slab</t>
  </si>
  <si>
    <t>Detailed structural/architectural coordination required</t>
  </si>
  <si>
    <t>Final build-up depends on route and whether exposed to foot/trolley traffic.</t>
  </si>
  <si>
    <t>RW-R06</t>
  </si>
  <si>
    <t>Heavy-duty courtyard rainwater outlet 150 mm</t>
  </si>
  <si>
    <t>SS outlet with clamping flange, leaf guard/silt basket, waterproofing-compatible detail</t>
  </si>
  <si>
    <t>Critical waterproofing interface.</t>
  </si>
  <si>
    <t>RW-R07</t>
  </si>
  <si>
    <t>Courtyard linear channel drain</t>
  </si>
  <si>
    <t>Heavy-duty channel, removable grating, bedding/haunch and outlet connection</t>
  </si>
  <si>
    <t>Specialist supplier / civil rate build-up</t>
  </si>
  <si>
    <t>Final section/cover class to courtyard use.</t>
  </si>
  <si>
    <t>RW-R08</t>
  </si>
  <si>
    <t>Courtyard waterproofing membrane</t>
  </si>
  <si>
    <t>Engineer refurbishment allowance</t>
  </si>
  <si>
    <t>Flexible membrane with reinforced corners/upstands and outlet detailing; includes pond test allowance</t>
  </si>
  <si>
    <t>Approved waterproofing contractor quotation recommended</t>
  </si>
  <si>
    <t>Final rate varies by membrane system.</t>
  </si>
  <si>
    <t>RW-R09</t>
  </si>
  <si>
    <t>Emergency overflow/scupper</t>
  </si>
  <si>
    <t>Independent external overflow with sleeve, weathering and discharge piece</t>
  </si>
  <si>
    <t>Specialist/fabricated item</t>
  </si>
  <si>
    <t>Final size by overflow calculation.</t>
  </si>
  <si>
    <t>KEY DESIGN / QUANTITY ASSUMPTIONS</t>
  </si>
  <si>
    <t>The courtyard is treated as a critical catchment because its rainwater must cross the building over/across the first-floor slab before reaching an external discharge point.</t>
  </si>
  <si>
    <t>A fully closed fusion-welded HDPE carrier is budgeted for the internal building crossing to reduce joint leakage risk. Final material may be altered by the Engineer after detailed design.</t>
  </si>
  <si>
    <t>A continuous positive fall is mandatory through the first-floor crossing. Final route shall be shown in profile with invert levels and shall avoid structural beams and inaccessible clinical/OT areas wherever practicable.</t>
  </si>
  <si>
    <t>At least two independent primary courtyard collection points plus independent emergency overflow are allowed. Hydraulic capacity must be confirmed using the final courtyard/roof catchment area and approved design rainfall intensity.</t>
  </si>
  <si>
    <t>The estimate includes provisional 100 m² courtyard regrading/waterproofing, 20 m linear channel, 35 m internal carrier pipe and 12 m external continuation; all quantities require final measured takeoff.</t>
  </si>
  <si>
    <t>Existing/new external surface drains remain in the Site Works package. Only rainwater pipe tie-ins are included here, avoiding double-counting.</t>
  </si>
  <si>
    <t>Sanitary wastewater and sewerage systems remain completely separate and are excluded from this storm/rainwater package.</t>
  </si>
  <si>
    <t>No rainwater harvesting tank or reuse system is included.</t>
  </si>
  <si>
    <t>All rates and totals are exclusive of VAT. Specialist courtyard drainage/HDPE/waterproofing rates should be confirmed by current quotations before tender issue.</t>
  </si>
  <si>
    <t>DISTRICT GENERAL HOSPITAL MATARA – ELECTRICAL BOQ REVIEWED FOR CONSOLIDATION</t>
  </si>
  <si>
    <t>Source: uploaded legacy Excel electrical BOQ (subtotal LKR 21,039,600). Quantities have been reviewed against the Modular OT and MVAC packages. Only clearly identifiable overlaps are deducted; upstream UPS distribution and general electrical infrastructure are retained.</t>
  </si>
  <si>
    <t>Source Row</t>
  </si>
  <si>
    <t>Source Qty</t>
  </si>
  <si>
    <t>Source Amount</t>
  </si>
  <si>
    <t>Duplicate Qty</t>
  </si>
  <si>
    <t>Duplicate Amount</t>
  </si>
  <si>
    <t>Reviewed Qty</t>
  </si>
  <si>
    <t>Reviewed Amount</t>
  </si>
  <si>
    <t>Overlap / Reason</t>
  </si>
  <si>
    <t>Main Distribution Board (MDB)</t>
  </si>
  <si>
    <t>RETAIN</t>
  </si>
  <si>
    <t>DB - GF - 1</t>
  </si>
  <si>
    <t>DB - GF - 2</t>
  </si>
  <si>
    <t>DB - GF - 3</t>
  </si>
  <si>
    <t>DB - OT1 - U</t>
  </si>
  <si>
    <t>OT UPS distribution boards retained: treated as upstream UPS distribution, distinct from Modular OT medical IT/IPS isolated power boards.</t>
  </si>
  <si>
    <t>Confirm final SLD/interface before tender.</t>
  </si>
  <si>
    <t>DB - OT2 - U</t>
  </si>
  <si>
    <t>DB - ORT1 - U</t>
  </si>
  <si>
    <t>DB - ORT2 - U</t>
  </si>
  <si>
    <t>DB - MG</t>
  </si>
  <si>
    <t>DB - AC</t>
  </si>
  <si>
    <t>AC/MVAC power distribution retained in Electrical BOQ. MVAC E2 has been reduced to local equipment/control interfaces only.</t>
  </si>
  <si>
    <t>95 mm²  4C,AL / PVC (ABC) from Hospital Incommer DB to  MDB</t>
  </si>
  <si>
    <t>35 mm2 Cu/PVC  Green &amp; Yellow  Earth cable from MDB to Earth electrode.</t>
  </si>
  <si>
    <t>10mm2, 1C x 4 , Cu/PVC/PVC  + 10mm2  Cu/PVC Earth cable from MDB to DB-GF-1</t>
  </si>
  <si>
    <t>10mm2, 1C x 4 , Cu/PVC/PVC  + 10mm2  Cu/PVC Earth cable from MDB to DB-GF-2</t>
  </si>
  <si>
    <t>10mm2, 1C x 4 , Cu/PVC/PVC  + 10mm2  Cu/PVC Earth cable from MDB to DB-GF-3</t>
  </si>
  <si>
    <t>10mm2, 1C x 2 , Cu/PVC/PVC  + 10mm2  Cu/PVC Earth cable from MDB to DB-OT1-U</t>
  </si>
  <si>
    <t>10mm2, 1C x 2 , Cu/PVC/PVC  + 10mm2  Cu/PVC Earth cable from MDB to DB-OT2-U</t>
  </si>
  <si>
    <t>10mm2, 1C x 2 , Cu/PVC/PVC  + 10mm2  Cu/PVC Earth cable from MDB to DB-ORT1-U</t>
  </si>
  <si>
    <t>10mm2, 1C x 2 , Cu/PVC/PVC  + 10mm2  Cu/PVC Earth cable from MDB to DB-ORT2-U</t>
  </si>
  <si>
    <t>3.1-1</t>
  </si>
  <si>
    <t>10mm2, 1C x 4 , Cu/PVC/PVC  + 10mm2  Cu/PVC Earth cable from MDB to DB-MG</t>
  </si>
  <si>
    <t>3.1-2</t>
  </si>
  <si>
    <t>70mm2, 1C x 4 , Cu/XLPE/PVC  + 35mm2  Cu/PVC Earth cable from MDB to DB-AC</t>
  </si>
  <si>
    <t>3.1-3</t>
  </si>
  <si>
    <t>10mm2, 1C x 4 , Cu/PVC/PVC  + 10mm2  Cu/PVC Earth cable from MDB to DB-FIRE</t>
  </si>
  <si>
    <t>50mm2, 1C x 4 , Cu/XLPE/PVC  + 25mm2  Cu/PVC Earth cable from DB-AC to CHILLER 
ROOM Isolator</t>
  </si>
  <si>
    <t>16mm2, 1C x 4 , Cu/PVC/PVC  + 16mm2  Cu/PVC Earth cable from DB-AC to AHU ROOM1 Isolator</t>
  </si>
  <si>
    <t>16mm2, 1C x 4 , Cu/PVC/PVC  + 16mm2  Cu/PVC Earth cable from DB-AC to AHU ROOM2 Isolator</t>
  </si>
  <si>
    <t>2.5mm2, 1C x 4 , Cu/PVC/PVC  + 2.5mm2  Cu/PVC Earth cable from DB-AC to COOLING TOWER Isolator</t>
  </si>
  <si>
    <t>2.5mm2, 1C x 4 , Cu/PVC/PVC  + 2.5mm2  Cu/PVC Earth cable from DB-AC to SEMI STERILE CORRIDOR</t>
  </si>
  <si>
    <t>2.5mm2, 1C x 4 , Cu/PVC/PVC  + 2.5mm2  Cu/PVC Earth cable from DB-AC to RECOVERY AREA 1</t>
  </si>
  <si>
    <t>2.5mm2, 1C x 4 , Cu/PVC/PVC  + 2.5mm2  Cu/PVC Earth cable from DB-AC to RECOVERY AREA 2</t>
  </si>
  <si>
    <t>2.5mm2, 1C x 4 , Cu/PVC/PVC  + 2.5mm2  Cu/PVC Earth cable from DB-AC to FAN COIL UNIT</t>
  </si>
  <si>
    <t>Cable Tray</t>
  </si>
  <si>
    <t>Pro. Sum</t>
  </si>
  <si>
    <t>Wiring of a light point from the respective Distribution Board using 1mm2 Cu/PVC/PVC cables drawn through concealed PVC conduits/PVC casing or as applicable, controlled by a 10A flush switch.</t>
  </si>
  <si>
    <t>40 OT general/cleanroom lighting points already included with Modular OT C6 and modular final lighting connections.</t>
  </si>
  <si>
    <t>REDUCE</t>
  </si>
  <si>
    <t>Reviewed qty = 177 - 40 = 137.</t>
  </si>
  <si>
    <t>Type 1</t>
  </si>
  <si>
    <t>40 OT cleanroom luminaires already included in Modular OT C6.</t>
  </si>
  <si>
    <t>Generic Type 1 fittings reduced by Modular OT quantity.</t>
  </si>
  <si>
    <t>Type 2</t>
  </si>
  <si>
    <t>Down light-Type 1</t>
  </si>
  <si>
    <t>Down light-Type 2</t>
  </si>
  <si>
    <t>Wall Lamp-Type 1</t>
  </si>
  <si>
    <t>Wall Lamp-Type 2</t>
  </si>
  <si>
    <t>Wiring of a ceiling fan from the respective Distribution Board using 1mm2 Cu/PVC/PVC cable and 2.5 mm2 Cu/PVC earth wire drawn through concealed PVC conduits, controlled by a regulator and 10A switch.</t>
  </si>
  <si>
    <t>Supply and installation of 1400 mm sweep diameter ceiling fan complete with regulator, fan hook, extension rod and all other accessories required. Guarantee cards shall be provided from accredited agent and approved by the Engineer before placing the order. (Recommended brands are KDK, Panasonic)</t>
  </si>
  <si>
    <t>Wiring (including supply of all material required )  of 13A socket outlets using approved type 2.5 mm2  Cu/PVC/PVC,  2C cable &amp; 2.5 mm2 earth cable drawn through securely fixed concealed PVC conduit / PVC trunking. (Radial circuit).</t>
  </si>
  <si>
    <t>16 Modular OT power socket boxes x 5 sockets = 80 sockets; modular specification also includes final OT subcircuits.</t>
  </si>
  <si>
    <t>Reviewed qty = 212 - 80 = 132.</t>
  </si>
  <si>
    <t>13A  Socket  outlets</t>
  </si>
  <si>
    <t>80 individual 13A outlets are already embodied in the 16 Modular OT power socket boxes.</t>
  </si>
  <si>
    <t>Reviewed qty = 132.</t>
  </si>
  <si>
    <t>Un-interrupted Power supply Systems (UPS)</t>
  </si>
  <si>
    <t>4 x 8 kVA UPS retained: Modular OT requires UPS/emergency interface but does not separately price central UPS units.</t>
  </si>
  <si>
    <t>Supply and Installation of an earth electrode of  minimum 10mm dia. solid copper rod of length 1.2m or more with a clamp connection to earth conductor. Earth resistance shall be less than 10 Ohms tested on a dry day. An earth pit of size 300mm x 300mm x 200mm is to be prepared and covered by removable concrete plate to protect the earth electrode.</t>
  </si>
  <si>
    <t>Testing the installation and rectify any defects and submit a certificate by a Chartered Electrical Engineer.</t>
  </si>
  <si>
    <t>General electrical inspection/testing retained; specialist OT validation remains under Modular OT.</t>
  </si>
  <si>
    <t>Source BOQ subtotal</t>
  </si>
  <si>
    <t>Identified duplicate deductions</t>
  </si>
  <si>
    <t>Reviewed direct electrical subtotal</t>
  </si>
  <si>
    <t>ELECTRICAL / MODULAR OT / MVAC – SCOPE RECONCILIATION</t>
  </si>
  <si>
    <t>Source Electrical BOQ</t>
  </si>
  <si>
    <t>Other Package</t>
  </si>
  <si>
    <t>Consolidated Treatment</t>
  </si>
  <si>
    <t>Deduction / Adjustment</t>
  </si>
  <si>
    <t>Tender Action</t>
  </si>
  <si>
    <t>OT cleanroom/general luminaires</t>
  </si>
  <si>
    <t>75 Type 1 fittings + 177 light points</t>
  </si>
  <si>
    <t>Modular OT C6: 40 airtight cleanroom luminaires plus final OT lighting connections</t>
  </si>
  <si>
    <t>Electrical Type 1 qty reduced to 35; light-point qty reduced to 137</t>
  </si>
  <si>
    <t>LKR 1,080,000 deducted</t>
  </si>
  <si>
    <t>Avoid duplicate OT luminaire and point wiring</t>
  </si>
  <si>
    <t>Confirm OT lighting layout; modular package governs inside OTs.</t>
  </si>
  <si>
    <t>OT 13A socket outlets</t>
  </si>
  <si>
    <t>212 socket wiring points + 212 outlets</t>
  </si>
  <si>
    <t>Modular OT E2: 16 boxes x 5 sockets = 80 outlets; modular electrical scope includes final OT subcircuits</t>
  </si>
  <si>
    <t>Electrical socket quantities reduced by 80 to 132</t>
  </si>
  <si>
    <t>LKR 1,228,000 deducted</t>
  </si>
  <si>
    <t>Avoid duplicate OT socket hardware and wiring</t>
  </si>
  <si>
    <t>Final room-by-room socket schedule required.</t>
  </si>
  <si>
    <t>UPS distribution boards</t>
  </si>
  <si>
    <t>DB-OT1-U, DB-OT2-U, DB-ORT1-U, DB-ORT2-U</t>
  </si>
  <si>
    <t>Modular OT E1: Medical IT/IPS isolated power system</t>
  </si>
  <si>
    <t>RETAIN electrical UPS DBs</t>
  </si>
  <si>
    <t>No deduction</t>
  </si>
  <si>
    <t>UPS distribution and medical isolated power are treated as separate upstream/downstream functions</t>
  </si>
  <si>
    <t>Confirm SLD and physical interface.</t>
  </si>
  <si>
    <t>4 x 8 kVA UPS systems</t>
  </si>
  <si>
    <t>Electrical item 12.0</t>
  </si>
  <si>
    <t>Modular OT specification: UPS/emergency supply interface</t>
  </si>
  <si>
    <t>Modular BOQ does not separately price central UPS units</t>
  </si>
  <si>
    <t>Confirm autonomy and loading against final OT schedule.</t>
  </si>
  <si>
    <t>DB-AC and MVAC feeder/final cables</t>
  </si>
  <si>
    <t>Electrical DB-AC + feeder and AC equipment cabling</t>
  </si>
  <si>
    <t>MVAC E2 previously carried LKR 5.0m broad electrical allowance</t>
  </si>
  <si>
    <t>RETAIN Electrical; reduce MVAC E2 to LKR 1.0m interface-only allowance</t>
  </si>
  <si>
    <t>MVAC reduced by LKR 4.0m</t>
  </si>
  <si>
    <t>Detailed electrical BOQ now governs power feeders/cables</t>
  </si>
  <si>
    <t>MVAC E2 to cover only local control/interface items not in electrical BOQ.</t>
  </si>
  <si>
    <t>General electrical testing</t>
  </si>
  <si>
    <t>LKR 80,000</t>
  </si>
  <si>
    <t>Modular OT F1 validation</t>
  </si>
  <si>
    <t>General statutory electrical testing is broader than OT specialist validation</t>
  </si>
  <si>
    <t>Avoid recharging OT validation tests under electrical variation.</t>
  </si>
  <si>
    <t>MATARA HOSPITAL – ANCILLARY BUILDINGS / EXTENSION BOQ REVIEWED FOR CONSOLIDATION</t>
  </si>
  <si>
    <t>Review Action</t>
  </si>
  <si>
    <t>Rate / Source Note</t>
  </si>
  <si>
    <t>Demolish existing brick/block walls, foundations and obsolete plinths where required, including stacking serviceable material and disposal of debris.</t>
  </si>
  <si>
    <t>BSR Z07 / existing BOQ</t>
  </si>
  <si>
    <t>Site Work duplicates reviewed separately</t>
  </si>
  <si>
    <t>Source amount</t>
  </si>
  <si>
    <t>Demolish existing concrete floors/plinths/columns, slabs where required and clear debris from site.</t>
  </si>
  <si>
    <t>BSR Z02 / existing BOQ</t>
  </si>
  <si>
    <t>Removing top soil manually to a depth not exceeding 6" and removing all debris away from site up to a distance of 30'-0". (Removing top soil up to 2 sqrs.)</t>
  </si>
  <si>
    <t>A2.2</t>
  </si>
  <si>
    <t>Manual excavation for column/walls including part backfill and disposal/stockpiling within site.</t>
  </si>
  <si>
    <t>BSR B07 / existing BOQ</t>
  </si>
  <si>
    <t>A2.3</t>
  </si>
  <si>
    <t>Random rubble (6"-9") masonry in cement sand mortar 1:5.</t>
  </si>
  <si>
    <t>A2.4</t>
  </si>
  <si>
    <t>BSR B25 / existing BOQ</t>
  </si>
  <si>
    <t>A2.5</t>
  </si>
  <si>
    <t>BSR B41 / existing BOQ</t>
  </si>
  <si>
    <t>A3.1</t>
  </si>
  <si>
    <t>Plain cement concrete 1:3:6 blinding under pad/wall foundations, 50mm thick.</t>
  </si>
  <si>
    <t>BSR C02 / existing BOQ</t>
  </si>
  <si>
    <t>A3.2</t>
  </si>
  <si>
    <t>BSR C04 / existing BOQ</t>
  </si>
  <si>
    <t>Curing of exposed reinforced concrete surfaces for 7 days.</t>
  </si>
  <si>
    <t>m²/day</t>
  </si>
  <si>
    <t>BSR C37 / existing BOQ</t>
  </si>
  <si>
    <t>A4.1</t>
  </si>
  <si>
    <t>Formwork to sides of pad/wall foundations.</t>
  </si>
  <si>
    <t>BSR D01 / existing BOQ</t>
  </si>
  <si>
    <t>A4.2</t>
  </si>
  <si>
    <t>Formwork to columns.</t>
  </si>
  <si>
    <t>BSR D08 / existing BOQ</t>
  </si>
  <si>
    <t>A4.3</t>
  </si>
  <si>
    <t>Formwork to sides of plinth/ground beams.</t>
  </si>
  <si>
    <t>BSR D03 / existing BOQ</t>
  </si>
  <si>
    <t>A4.4</t>
  </si>
  <si>
    <t>Formwork to sides and soffits of roof beams.</t>
  </si>
  <si>
    <t>BSR D06 / existing BOQ</t>
  </si>
  <si>
    <t>A4.5</t>
  </si>
  <si>
    <t>BSR D05 / existing BOQ</t>
  </si>
  <si>
    <t>A5.1</t>
  </si>
  <si>
    <t>BSR E04 / existing BOQ</t>
  </si>
  <si>
    <t>BSR E04 proxy / existing BOQ</t>
  </si>
  <si>
    <t>A6.1</t>
  </si>
  <si>
    <t>BSR G03 / existing BOQ</t>
  </si>
  <si>
    <t>Added item / BSR painting proxy</t>
  </si>
  <si>
    <t>3/4" thick D.P.C. in cement sand 1:3 finished with 2 coats of D.P.C. tar and blinded with sand.</t>
  </si>
  <si>
    <t>Gauge 750 polythene damp proof membrane with 6" laps laid under floors.</t>
  </si>
  <si>
    <t>Homogeneous porcelain semi - glazed floor tile 12" x 24" paving on tile adhesive (mortar) bedding and pointed with tile grout to match the tile. (Prime Cost of tile is Rs.627.00)-Floor</t>
  </si>
  <si>
    <t>Homogeneous porcelain semi - glazed floor tile 12" x 24" paving on tile adhesive (mortar) bedding and pointed with tile grout to match the tile. (Prime Cost of tile is Rs.627.00)-Bath Rooms</t>
  </si>
  <si>
    <t>Glazed Ceramic wall tiling of size 12" x 24" approved colour, supplying and fixing to walls on tile adhesive (mortar) layer, and pointed with tile grout to match the tile. (Prime Cost of tile Rs.700.00)</t>
  </si>
  <si>
    <t>Painting soffit with two coats of emulsion paint including preparing surface.</t>
  </si>
  <si>
    <t>Painting walls with two coats of weathershield paint including preparing surface.</t>
  </si>
  <si>
    <t>Ancillary Roof / Extension</t>
  </si>
  <si>
    <t>150×65×14×2 mm galvanized C-section primary framing/rafters/edge members</t>
  </si>
  <si>
    <t>RECALCULATED</t>
  </si>
  <si>
    <t>Uploaded roof schedule</t>
  </si>
  <si>
    <t>Rainwater general roof items removed from Rainwater package</t>
  </si>
  <si>
    <t>Reviewed</t>
  </si>
  <si>
    <t>Source stored amount 438,000 does not equal Qty×Rate 967,250; Qty×Rate used.</t>
  </si>
  <si>
    <t>100×50×2 mm galvanized C-section secondary purlins</t>
  </si>
  <si>
    <t>Source stored amount 177,450 does not equal Qty×Rate 884,520; Qty×Rate used.</t>
  </si>
  <si>
    <t>Plates, cleats, stiffeners, anchor bolts/chemical anchors, bolts and bracing</t>
  </si>
  <si>
    <t>50 mm PIR insulated Zn/Al sandwich roof panels, complete</t>
  </si>
  <si>
    <t>Source stored amount 1,237,500 does not equal Qty×Rate 4,488,000; Qty×Rate used.</t>
  </si>
  <si>
    <t>Flashing into existing walls, 0.47 mm AZ150 Zn/Al, min. 450 mm girth, chased, sealed and dressed over roofing</t>
  </si>
  <si>
    <t>Source stored amount 49,770 does not equal Qty×Rate 118,500; Qty×Rate used.</t>
  </si>
  <si>
    <t>Zn/Al barge/verge capping</t>
  </si>
  <si>
    <t>Source stored amount 35,520 does not equal Qty×Rate 57,720; Qty×Rate used.</t>
  </si>
  <si>
    <t>0.47 mm AZ150 Zn/Al eaves gutter, 470 mm girth</t>
  </si>
  <si>
    <t>Source stored amount 55,650 does not equal Qty×Rate 145,750; Qty×Rate used.</t>
  </si>
  <si>
    <t>Gutter stop ends</t>
  </si>
  <si>
    <t>No.</t>
  </si>
  <si>
    <t>Source stored amount 6,520 does not equal Qty×Rate 19,560; Qty×Rate used.</t>
  </si>
  <si>
    <t>Running heads/nozzles</t>
  </si>
  <si>
    <t>Source stored amount 7,160 does not equal Qty×Rate 28,640; Qty×Rate used.</t>
  </si>
  <si>
    <t>100×100 mm Zn/Al downpipes</t>
  </si>
  <si>
    <t>Source stored amount 14,630 does not equal Qty×Rate 75,240; Qty×Rate used.</t>
  </si>
  <si>
    <t>Connect downpipes to adjacent stormwater system and make good</t>
  </si>
  <si>
    <t>Source stored amount 25,000 does not equal Qty×Rate 50,000; Qty×Rate used.</t>
  </si>
  <si>
    <t>Roof and flashing water-tightness testing</t>
  </si>
  <si>
    <t>Structural calculations, shop drawings, flashing details, drainage layout and as-builts</t>
  </si>
  <si>
    <t>Final cleaning, coating touch-up and handover</t>
  </si>
  <si>
    <t>ANCILLARY WORKS – CONSOLIDATION / DUPLICATION REVIEW</t>
  </si>
  <si>
    <t>Issue / Scope</t>
  </si>
  <si>
    <t>Source Finding</t>
  </si>
  <si>
    <t>Amount Impact</t>
  </si>
  <si>
    <t>Related Package</t>
  </si>
  <si>
    <t>Ancillary workbook summary</t>
  </si>
  <si>
    <t>Source 'BOQ Summary' shows LKR 3.279m, but detailed sheets contain substantially more current work</t>
  </si>
  <si>
    <t>Ignore stale summary; use detailed sheet line items</t>
  </si>
  <si>
    <t>Reviewed detailed direct subtotal used</t>
  </si>
  <si>
    <t>Ancillary source workbook</t>
  </si>
  <si>
    <t>Summary is not aligned with current detailed sheets</t>
  </si>
  <si>
    <t>Issue a cleaned tender BOQ with a single controlled summary.</t>
  </si>
  <si>
    <t>Roof schedule amount mismatch</t>
  </si>
  <si>
    <t>Several 'Sheet1' line amounts do not equal displayed Qty × Rate</t>
  </si>
  <si>
    <t>Recalculate reviewed amounts from Qty × Rate</t>
  </si>
  <si>
    <t>Roof schedule reviewed total changes</t>
  </si>
  <si>
    <t>Displayed quantities/rates are the current editable inputs</t>
  </si>
  <si>
    <t>Verify measured quantities, especially steel framing and 272 m² sandwich roof.</t>
  </si>
  <si>
    <t>Site hardstanding/concrete demolition</t>
  </si>
  <si>
    <t>Site Works item 7 overlaps ancillary demolition of concrete floors/plinths/slabs</t>
  </si>
  <si>
    <t>Remove Site Works item 7</t>
  </si>
  <si>
    <t>LKR 81,672 removed from Site Works</t>
  </si>
  <si>
    <t>Site Works vs Ancillary</t>
  </si>
  <si>
    <t>Ancillary detailed civil BOQs now govern building-footprint demolition</t>
  </si>
  <si>
    <t>Confirm demolition limits on setting-out plan.</t>
  </si>
  <si>
    <t>Canopy/lean-to roof demolition</t>
  </si>
  <si>
    <t>Site Works item 6 duplicates Added Renovation B7 (same 45 m² canopy roof removal)</t>
  </si>
  <si>
    <t>Remove Site Works item 6</t>
  </si>
  <si>
    <t>LKR 16,065 removed from Site Works</t>
  </si>
  <si>
    <t>Site Works vs Added Renovation</t>
  </si>
  <si>
    <t>Exact duplicate quantity/scope</t>
  </si>
  <si>
    <t>Pay under Added Renovation B7 only.</t>
  </si>
  <si>
    <t>Rainwater gutters/downpipes</t>
  </si>
  <si>
    <t>Ancillary roof schedule R.08-R.12 includes gutters, downpipes and stormwater connections</t>
  </si>
  <si>
    <t>Remove general roof rainwater D1-D4 from Rainwater package</t>
  </si>
  <si>
    <t>LKR 357,000 removed from Rainwater package</t>
  </si>
  <si>
    <t>Ancillary Roof vs Rainwater</t>
  </si>
  <si>
    <t>Ancillary roof schedule now provides the roof drainage hardware</t>
  </si>
  <si>
    <t>Rainwater package remains focused on courtyard diversion system.</t>
  </si>
  <si>
    <t>Landscape maintenance</t>
  </si>
  <si>
    <t>Site Works item 17 notes establishment maintenance included in turf item while item 21 separately prices maintenance labour</t>
  </si>
  <si>
    <t>Remove Site Works item 21</t>
  </si>
  <si>
    <t>LKR 73,710 removed from Site Works</t>
  </si>
  <si>
    <t>Site Works internal duplication</t>
  </si>
  <si>
    <t>Avoid double payment for turf establishment maintenance</t>
  </si>
  <si>
    <t>Only additional maintenance beyond BSR establishment period should be separately instructed.</t>
  </si>
  <si>
    <t>Generator/technical civil subtotal</t>
  </si>
  <si>
    <t>Detailed line items total LKR 11,365,162.67 while source displayed subtotal is LKR 11,103,598.67</t>
  </si>
  <si>
    <t>Use detailed line-item total</t>
  </si>
  <si>
    <t>LKR 261,564 added</t>
  </si>
  <si>
    <t>BOQ (2)</t>
  </si>
  <si>
    <t>The source subtotal omits the Random Rubble Masonry item A2.3 (LKR 261,564)</t>
  </si>
  <si>
    <t>Correct the source workbook subtotal before tender issue.</t>
  </si>
  <si>
    <t>MATARA OT RENOVATION – SITE WORKS BOQ REVIEWED FOR DUPLICATION</t>
  </si>
  <si>
    <t>The original 'Site Works - Unchanged' sheet is retained for audit. This reviewed sheet removes clear overlaps with the Added Renovation and Ancillary Works packages and removes an internal landscape-maintenance duplication.</t>
  </si>
  <si>
    <t>Source Item</t>
  </si>
  <si>
    <t>REMOVE</t>
  </si>
  <si>
    <t>Exact overlap with Added Renovation B7: 45 m² lightweight/corrugated canopy roof removal.</t>
  </si>
  <si>
    <t>Duplicate removed</t>
  </si>
  <si>
    <t>Concrete hardstanding/slab demolition within ancillary footprints is now included in detailed Ancillary Works demolition items.</t>
  </si>
  <si>
    <t>Ancillary demolition items include debris disposal and Added Renovation B7 includes canopy disposal; retain only allowance for remaining site-work debris.</t>
  </si>
  <si>
    <t>Qty reduced</t>
  </si>
  <si>
    <t>20 loads reduced to 15 loads.</t>
  </si>
  <si>
    <t>Retained strictly for repair of existing small concrete drains; new drain construction is separately measured below.</t>
  </si>
  <si>
    <t>Description qualification added to avoid overlap with new drain construction.</t>
  </si>
  <si>
    <t>D-N1</t>
  </si>
  <si>
    <t>D-N2</t>
  </si>
  <si>
    <t>D-N3</t>
  </si>
  <si>
    <t>Grade 25 concrete in foundation, wall  in Drain construction</t>
  </si>
  <si>
    <t>D-N4</t>
  </si>
  <si>
    <t>D-N5</t>
  </si>
  <si>
    <t>D-N6</t>
  </si>
  <si>
    <t>Supply, manufacture and place heavy-duty precast reinforced concrete cover slabs, minimum 125 mm thick, Grade 25 concrete, over surface drainage channels, of approved panel sizes, reinforced to withstand the specified vehicular/loading conditions, complete with high-yield reinforcement, moulds/formwork, lifting hooks/recesses where required, chamfered edges, curing, transportation, handling, bedding/seating in cement mortar, alignment and levelling, cutting and adjustment at ends and junctions, and all labour, materials, plant and incidental works necessary to provide a complete installation, all in accordance with approved drawings and Engineer's instructions.</t>
  </si>
  <si>
    <t>D-N7</t>
  </si>
  <si>
    <t>Supply, fabricate and place precast reinforced concrete light-duty cover slabs over existing surface drainage, minimum 100 mm thick, Grade 25 concrete, in manageable panel sizes to suit the existing drain, reinforced with approved high-yield steel reinforcement, complete with formwork/moulds, lifting arrangements where required, chamfered edges, curing, transportation, handling, placing, levelling and proper seating over the existing drain walls; including minor preparation and making good of existing drain edges, cement mortar bedding where necessary, and all labour, materials, plant and incidental works required for a complete installation, all to the Engineer's approval.</t>
  </si>
  <si>
    <t>Turf item 17 already states establishment maintenance is included; separate maintenance allowance would duplicate that scope.</t>
  </si>
  <si>
    <t>Retained as external landscape watering only; domestic/internal hose points remain under Water Supply.</t>
  </si>
  <si>
    <t>Coordinate final point schedule.</t>
  </si>
  <si>
    <t>Source direct site-work subtotal</t>
  </si>
  <si>
    <t>Duplicate / review deductions</t>
  </si>
  <si>
    <t>Reviewed direct site-work subtotal</t>
  </si>
  <si>
    <t>REV 7 CONSOLIDATION CHANGE / DUPLICATION REGISTER</t>
  </si>
  <si>
    <t>Change Ref</t>
  </si>
  <si>
    <t>Package</t>
  </si>
  <si>
    <t>Source Scope / Amount</t>
  </si>
  <si>
    <t>Overlap / Issue</t>
  </si>
  <si>
    <t>Direct Adjustment (LKR)</t>
  </si>
  <si>
    <t>Reviewed Direct Amount</t>
  </si>
  <si>
    <t>Basis / Cross-check</t>
  </si>
  <si>
    <t>Tender Follow-up</t>
  </si>
  <si>
    <t>CR-01</t>
  </si>
  <si>
    <t>Electrical</t>
  </si>
  <si>
    <t>Source subtotal LKR 21,039,600</t>
  </si>
  <si>
    <t>40 OT light points + 40 Type 1 luminaires overlap Modular OT C6</t>
  </si>
  <si>
    <t>Reduce electrical quantities</t>
  </si>
  <si>
    <t>Modular OT C6 quantity = 40</t>
  </si>
  <si>
    <t>Confirm final OT lighting schedule.</t>
  </si>
  <si>
    <t>CR-02</t>
  </si>
  <si>
    <t>212 socket points + 212 outlets</t>
  </si>
  <si>
    <t>80 OT sockets overlap Modular OT E2 (16 boxes x 5 sockets)</t>
  </si>
  <si>
    <t>Modular OT E2</t>
  </si>
  <si>
    <t>Confirm room-by-room socket schedule.</t>
  </si>
  <si>
    <t>CR-03</t>
  </si>
  <si>
    <t>MVAC</t>
  </si>
  <si>
    <t>E2 allowance LKR 5,000,000</t>
  </si>
  <si>
    <t>DB-AC and main/final AC power cabling now in Electrical BOQ</t>
  </si>
  <si>
    <t>Reduce MVAC E2 to LKR 1,000,000</t>
  </si>
  <si>
    <t>Electrical items DB-AC / 3.1-2 / 4.1-4.8</t>
  </si>
  <si>
    <t>Define local isolator/control interface.</t>
  </si>
  <si>
    <t>CR-04</t>
  </si>
  <si>
    <t>Site Works</t>
  </si>
  <si>
    <t>Item 6 LKR 16,065</t>
  </si>
  <si>
    <t>Same 45 m² canopy/lean-to removal as Added Renovation B7</t>
  </si>
  <si>
    <t>Remove Site item 6</t>
  </si>
  <si>
    <t>Exact quantity/scope match</t>
  </si>
  <si>
    <t>Pay once under Added Renovation.</t>
  </si>
  <si>
    <t>CR-05</t>
  </si>
  <si>
    <t>Item 7 LKR 81,672</t>
  </si>
  <si>
    <t>Hardstanding/slab demolition overlaps ancillary building footprint demolition</t>
  </si>
  <si>
    <t>Remove Site item 7</t>
  </si>
  <si>
    <t>Ancillary concrete demolition items</t>
  </si>
  <si>
    <t>Confirm demolition boundary plan.</t>
  </si>
  <si>
    <t>CR-06</t>
  </si>
  <si>
    <t>Item 9: 20 debris loads</t>
  </si>
  <si>
    <t>Ancillary demolition/disposal and canopy disposal included in other packages</t>
  </si>
  <si>
    <t>Reduce to 15 loads</t>
  </si>
  <si>
    <t>Review allowance</t>
  </si>
  <si>
    <t>Remeasure actual disposal loads.</t>
  </si>
  <si>
    <t>CR-07</t>
  </si>
  <si>
    <t>Item 21 LKR 73,710</t>
  </si>
  <si>
    <t>Turf item already states establishment maintenance included</t>
  </si>
  <si>
    <t>Remove item 21</t>
  </si>
  <si>
    <t>Internal Site Works note</t>
  </si>
  <si>
    <t>Separate additional maintenance only by instruction.</t>
  </si>
  <si>
    <t>CR-08</t>
  </si>
  <si>
    <t>Rainwater</t>
  </si>
  <si>
    <t>D1-D4 LKR 357,000</t>
  </si>
  <si>
    <t>Ancillary Roof R.08-R.12 already includes gutters/downpipes/stormwater connections</t>
  </si>
  <si>
    <t>Zero Rainwater D1-D4</t>
  </si>
  <si>
    <t>Ancillary Roof schedule</t>
  </si>
  <si>
    <t>Rainwater package remains courtyard-specific.</t>
  </si>
  <si>
    <t>CR-09</t>
  </si>
  <si>
    <t>Ancillary</t>
  </si>
  <si>
    <t>Generator displayed subtotal LKR 11,103,598.67</t>
  </si>
  <si>
    <t>Subtotal omits A2.3 Random Rubble Masonry LKR 261,564</t>
  </si>
  <si>
    <t>Use detailed line total</t>
  </si>
  <si>
    <t>Detailed generator BOQ line items</t>
  </si>
  <si>
    <t>Correct source subtotal.</t>
  </si>
  <si>
    <t>CR-10</t>
  </si>
  <si>
    <t>Ancillary Roof</t>
  </si>
  <si>
    <t>Stored roof amounts / base estimate</t>
  </si>
  <si>
    <t>Several amounts do not equal current Qty x Rate</t>
  </si>
  <si>
    <t>Recalculate Qty x Rate</t>
  </si>
  <si>
    <t>Source Sheet1 displayed Qty/Rate</t>
  </si>
  <si>
    <t>Verify quantities before tender.</t>
  </si>
  <si>
    <t xml:space="preserve">Approved earth supplying, spreading &amp; levelling manually, including watering in 225mm thick layers (measured on piled volume) &amp; Compaction using a machine Rammer. Rate includes hire charges for the machine rammer. </t>
  </si>
  <si>
    <t>Anti-termite treatment for the new construction with applying Biflexthrine 10Tc (Biflex ) or approved equivalent as per manufacturer's standards of application including horizontal &amp; vertical barriers with 10 years warranty on application. (Measured on plinth area)</t>
  </si>
  <si>
    <t>Grade 25  concrete to  foundations.</t>
  </si>
  <si>
    <t>Grade 25  concrete to columns up to roof level.</t>
  </si>
  <si>
    <t>Grade 25 concrete to plinth/ground beams.</t>
  </si>
  <si>
    <t>Grade 25  concrete in ground slab, including placing, compacting and finishing to receive floor finish.</t>
  </si>
  <si>
    <t>Grade 25  concrete in roof slab, including placing, compacting and finishing to receive floor finish.</t>
  </si>
  <si>
    <t>Grade 25 concrete to roof beams, drain and parapet</t>
  </si>
  <si>
    <t>Formwork to soffit of roof slab</t>
  </si>
  <si>
    <t>Tor steel reinforcement to pad foundations, beams, coulumns and slab including cutting, bending, placing and tying.</t>
  </si>
  <si>
    <t>Supplying and laying in position of B.R.C mesh (6mm) - 4" x 4"</t>
  </si>
  <si>
    <t>Amount</t>
  </si>
  <si>
    <t>Type - 1 - Internal Wet Areas without Exposure to Sunlight (Cementitious water proofing using Barralastic or approved equivalnt)
Application of cementitious water proofing using Barralastic or approved equivalnt for internal wet areas such as toilet floors and walls where the surfaces are not directly exposed to sunlight and weathering. Rate shall include for cleaning the substrate and all other work as per manufacturer's specifications on application and shall include ponding test for a 300mm water height kept for a period of 48 hours for horizontal surfaces.</t>
  </si>
  <si>
    <t>Type - 4 - Application of membrane type water proofing material for roofs)
On  roofs laying of Topseal 4 mm thick, Torch-on membrane or any other equivalent product marketed/installed by a specialist contractor registered at ICTAD under water proofing category including 1:3 cement,sand protective screed laid to slope. Rate shall include the formation of edges, torch welding and fixing metal strip on vertical walls at termination edges.</t>
  </si>
  <si>
    <t>150mm thick cement sand solid block wall (blocks confirming to S.L.S. 855 and subject to the approval of sample blocks) in cement and sand mortar 1:5 in ground floor.</t>
  </si>
  <si>
    <t>100mm thick cement sand solid block wall (blocks confirming to S.L.S.855 and subject to the approval of sample blocks) in cement and sand mortar 1:5 in ground floor.</t>
  </si>
  <si>
    <t>Roof Work</t>
  </si>
  <si>
    <t>Rendering 1/2" thick in cement sand 1:3 finished smooth with cement slurry without colour pigment and expansion joints filled with construction expansion joint sealent including the cost for cleaning the joints prior application of construction expansion joint sealent by M/s Bitumix or approved equivalent.</t>
  </si>
  <si>
    <t>Painting walls with two coats of emulsion paint including preparing surface.</t>
  </si>
  <si>
    <t>Removing roof tiles/cement fibre or asbestos roofing sheets and timber frame work, stacking serviceable materials and clearing debris away in two storied building.</t>
  </si>
  <si>
    <t>Demolition Work</t>
  </si>
  <si>
    <t>Excavation and earth work</t>
  </si>
  <si>
    <t>Concrete Work</t>
  </si>
  <si>
    <t>BSR-2024-U773</t>
  </si>
  <si>
    <r>
      <t>Supply and install proprietary aluminium clip-in suspended ceiling system to all designated internal areas excluding Operating Theatres</t>
    </r>
    <r>
      <rPr>
        <sz val="11"/>
        <rFont val="Carlito"/>
      </rPr>
      <t xml:space="preserve">, comprising minimum </t>
    </r>
    <r>
      <rPr>
        <b/>
        <sz val="11"/>
        <rFont val="Carlito"/>
      </rPr>
      <t>0.70 mm thick, 600 × 600 mm aluminium clip-in ceiling panels</t>
    </r>
    <r>
      <rPr>
        <sz val="11"/>
        <rFont val="Carlito"/>
      </rPr>
      <t xml:space="preserve">, plain or perforated as approved, with minimum 80-micron factory-applied high-quality polyester/epoxy powder-coated finish, colour as selected by the Engineer, complete with proprietary concealed clip-in carrier system, hot-dip galvanised suspension members, carrier channels, adjustable hangers/4 mm diameter hanger rods, approved soffit anchors, perimeter aluminium/GI trims and angles, hold-down clips where required and all necessary fixing accessories. Rate shall include setting out to coordinated ceiling modules, levelling, cutting and forming panels around columns and walls, trimming and openings for light fittings, air-conditioning diffusers/grilles, sprinklers, detectors, speakers, medical/ELV services and other ceiling-mounted installations, strengthening/support around openings where required, removable panels for access to services, making good, protection and cleaning on completion, and all labour, materials, plant and accessories necessary to provide a complete ceiling system in accordance with approved shop drawings, manufacturer's recommendations and Engineer's approval. Panels in clinical/wet/hygiene-sensitive areas shall be non-corrosive, non-shedding, washable and resistant to normal hospital cleaning/disinfection agents. </t>
    </r>
    <r>
      <rPr>
        <b/>
        <sz val="11"/>
        <rFont val="Carlito"/>
      </rPr>
      <t>Operating Theatre modular/hygienic ceilings are excluded and measured separately.</t>
    </r>
  </si>
  <si>
    <t>C11</t>
  </si>
  <si>
    <t>C12</t>
  </si>
  <si>
    <r>
      <t xml:space="preserve">1500 mm × 2200 mm Double-Leaf, Double-Action Swing Door for Corridors
</t>
    </r>
    <r>
      <rPr>
        <sz val="11"/>
        <rFont val="Carlito"/>
      </rPr>
      <t>Provide and install a 1500 mm wide × 2200 mm high double-leaf swing door, comprising two equal 750 mm leaves, capable of opening in both directions. Door leaves shall have a rigid, impact-resistant core with smooth, non-porous hygienic finishes on both sides, resistant to hospital cleaning agents and disinfectants. Provide a heavy-duty stainless-steel or aluminium frame, double-action floor springs or pivot hinges, flush vision panels of laminated safety glass, stainless-steel push plates, kick plates and edge protection. The door shall close smoothly and quietly, have a flush threshold suitable for beds and trolleys, and include all seals, ironmongery, reinforcement, accessories and making good necessary for a complete installation.</t>
    </r>
  </si>
  <si>
    <r>
      <rPr>
        <b/>
        <sz val="11"/>
        <rFont val="Carlito"/>
      </rPr>
      <t>1500 mm × 2200 mm Door Within Curtain Wall</t>
    </r>
    <r>
      <rPr>
        <sz val="11"/>
        <rFont val="Carlito"/>
      </rPr>
      <t xml:space="preserve">
Provide and install a 1500 mm wide × 2200 mm high, double-leaf, single-action swing door integrated with the curtain-wall system. Provide powder-coated aluminium door leaves and frame matching the curtain-wall finish, glazed with laminated safety glass of the required thickness. Each leaf shall open in one direction only and operate on heavy-duty pivots or hinges.
Include concealed door closers, stainless-steel pull/push handles, locks, door stops, weather seals, gaskets, threshold, flashings, perimeter sealant and all necessary ironmongery. Reinforce and securely anchor the surrounding curtain-wall framing to withstand door-operation loads. Complete the installation weathertight, smoothly operating and in accordance with the approved shop drawings.</t>
    </r>
  </si>
  <si>
    <t>1000 mm × 2200 mm Single-Leaf Door with Vision Panel
Provide and install a 1000 mm wide × 2200 mm high single-leaf, single-action swing door. The door shall have a rigid, impact-resistant core with smooth, non-porous hygienic finishes on both sides, suitable for regular cleaning with hospital-grade disinfectants.
Provide a flush, hermetically sealed vision panel, approximately 250 mm × 350 mm, glazed with double-laminated safety glass. Include a stainless-steel or aluminium frame, heavy-duty hinges, lever handles, lockset, door closer, door stop, kick plates, seals, flush threshold and all necessary ironmongery and accessories. The door shall operate smoothly, close quietly and permit safe passage of wheelchairs and equipment.</t>
  </si>
  <si>
    <t>F4</t>
  </si>
  <si>
    <t>F5</t>
  </si>
  <si>
    <t>F6</t>
  </si>
  <si>
    <t>500 mm × 2200 mm Double-Leaf Door
Provide and install a 1500 mm wide × 2200 mm high double-leaf, single-action steel door to the HVAC technical room. The door shall comprise one active leaf and one inactive leaf, sized to permit the installation, removal and maintenance of the largest equipment.
Provide heavy-duty galvanized-steel leaves and frame with corrosion-resistant powder-coated finish, internal reinforcement and suitable acoustic insulation. Equip the active leaf with a heavy-duty lever handle, mortice lock and door closer, and the inactive leaf with concealed top and bottom flush bolts. Include stainless-steel hinges, door stops, seals, kick plates, hold-open devices where permitted, and all necessary ironmongery.
The doors shall open outward where required by the approved fire and escape strategy. Provide weatherproof ventilation louvers with insect mesh only where indicated by the HVAC design. The complete door assembly, including frame, hardware, seals, louvers and glazing where applicable, shall achieve the fire rating required for the enclosing wall and comply with the approved fire-safety requirements.</t>
  </si>
  <si>
    <r>
      <rPr>
        <b/>
        <sz val="11"/>
        <rFont val="Carlito"/>
      </rPr>
      <t>Accessible-Toilet Door</t>
    </r>
    <r>
      <rPr>
        <sz val="11"/>
        <rFont val="Carlito"/>
      </rPr>
      <t xml:space="preserve">
Provide and install a single-leaf door, minimum </t>
    </r>
    <r>
      <rPr>
        <b/>
        <sz val="11"/>
        <rFont val="Carlito"/>
      </rPr>
      <t>1000 mm nominal width × 2200 mm height</t>
    </r>
    <r>
      <rPr>
        <sz val="11"/>
        <rFont val="Carlito"/>
      </rPr>
      <t xml:space="preserve">, arranged to provide at least </t>
    </r>
    <r>
      <rPr>
        <b/>
        <sz val="11"/>
        <rFont val="Carlito"/>
      </rPr>
      <t>900 mm clear opening</t>
    </r>
    <r>
      <rPr>
        <sz val="11"/>
        <rFont val="Carlito"/>
      </rPr>
      <t xml:space="preserve"> when the door is fully open. The door shall open outward into the circulation space, without obstructing the accessible route, or shall be a compliant sliding door where shown.
Provide a moisture-resistant solid core with smooth, non-porous and easily cleanable finishes on both sides. Equip the door with corrosion-resistant hinges, an easy-grip lever handle, and a privacy lock operable with one hand without tight grasping or twisting. The lock shall incorporate an occupied/vacant indicator and allow emergency release from outside.
Provide and install a 750 mm wide × 2200 mm high single-leaf, single-action swing door. The door shall have a moisture-resistant solid core with smooth, non-porous and easily cleanable finishes on both sides, suitable for humid hospital bathroom and changing-room conditions.
Provide a corrosion-resistant frame, stainless-steel hinges and lever handles, privacy lock with external emergency release, door stop, rubber seals and all necessary ironmongery. The door shall open outwards where required for emergency access and include a minimum 300 mm high stainless-steel kick plate and an undercut or transfer grille where required for ventilation.</t>
    </r>
  </si>
  <si>
    <t xml:space="preserve">
Aluminium-Glazed Curtain Wall
Design, fabricate, supply and install a complete aluminium-framed glazed curtain-wall system of approved profile, configuration and colour, comprising powder-coated or anodised aluminium mullions, transoms, pressure plates, cover caps and all required internal reinforcement.
Include approved performance glazing, spandrel panels where indicated, thermal and acoustic insulation, vapour barriers, flashings, copings, closures, perimeter trims, EPDM gaskets, setting blocks, backing rods, structural and weather-grade silicone sealants, anchors, brackets, fasteners and all accessories.
The system shall be securely connected to the building structure and designed to accommodate structural movement, thermal expansion and specified wind loads. Provide complete air- and watertight construction, controlled drainage and condensation discharge. Include interfaces with adjacent walls, roofs, floors, doors and windows; all necessary cutting, forming, protection, testing, cleaning and making good; and preparation of shop drawings and calculations.
</t>
  </si>
  <si>
    <t>F7</t>
  </si>
  <si>
    <t>750 mm × 2200 mm Door for Bathroom and Changing Room
Provide and install a 750 mm wide × 2200 mm high single-leaf, single-action swing door. The door shall have a moisture-resistant solid core with smooth, non-porous and easily cleanable finishes on both sides, suitable for humid hospital bathroom and changing-room conditions.
Provide a corrosion-resistant frame, stainless-steel hinges and lever handles, privacy lock with external emergency release, door stop, rubber seals and all necessary ironmongery. The door shall open outwards where required for emergency access and include a minimum 300 mm high stainless-steel kick plate and an undercut or transfer grille where required for ventilation.</t>
  </si>
  <si>
    <t>Supply and fix wall hung wash basin with half pedestal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wash basin is Rs.25000</t>
  </si>
  <si>
    <t>Supply and fix white vitreous china (vc) floor standing close coupled semi back to wall water closet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 Prime cost of the water closet, tank and seat cover is Rs.60000</t>
  </si>
  <si>
    <t>Supply and fix 4mm thick mirror of size 20" x 28" rectangular, beveled edge wall mounted mirror. Prime cost of the 4mm thick mirror of size 20" x 28" is Rs. 12,522.00.</t>
  </si>
  <si>
    <t>Semi Luksary range</t>
  </si>
  <si>
    <t>B14</t>
  </si>
  <si>
    <r>
      <t>Supply, manufacture and place heavy-duty precast reinforced concrete cover slabs, minimum 125 mm thick, Grade 25 concrete, over surface drainage channels</t>
    </r>
    <r>
      <rPr>
        <sz val="11"/>
        <rFont val="Carlito"/>
      </rPr>
      <t>, of approved panel sizes, reinforced to withstand the specified vehicular/loading conditions, complete with high-yield reinforcement, moulds/formwork, lifting hooks/recesses where required, chamfered edges, curing, transportation, handling, bedding/seating in cement mortar, alignment and levelling, cutting and adjustment at ends and junctions, and all labour, materials, plant and incidental works necessary to provide a complete installation, all in accordance with approved drawings and Engineer's instructions.</t>
    </r>
  </si>
  <si>
    <r>
      <t>Supply, fabricate and place precast reinforced concrete light-duty cover slabs over existing surface drainage</t>
    </r>
    <r>
      <rPr>
        <sz val="11"/>
        <rFont val="Carlito"/>
      </rPr>
      <t xml:space="preserve">, minimum </t>
    </r>
    <r>
      <rPr>
        <b/>
        <sz val="11"/>
        <rFont val="Carlito"/>
      </rPr>
      <t>100 mm thick, Grade 25 concrete</t>
    </r>
    <r>
      <rPr>
        <sz val="11"/>
        <rFont val="Carlito"/>
      </rPr>
      <t>, in manageable panel sizes to suit the existing drain, reinforced with approved high-yield steel reinforcement, complete with formwork/moulds, lifting arrangements where required, chamfered edges, curing, transportation, handling, placing, levelling and proper seating over the existing drain walls; including minor preparation and making good of existing drain edges, cement mortar bedding where necessary, and all labour, materials, plant and incidental works required for a complete installation, all to the Engineer's approval.</t>
    </r>
  </si>
  <si>
    <t>A1.Preliminaries</t>
  </si>
  <si>
    <t>A1.1</t>
  </si>
  <si>
    <t>C3.3</t>
  </si>
  <si>
    <t>C9.9</t>
  </si>
  <si>
    <t>A1.2</t>
  </si>
  <si>
    <t>A2. Clearance &amp; Demolition</t>
  </si>
  <si>
    <t>A2.1</t>
  </si>
  <si>
    <t>A2.6</t>
  </si>
  <si>
    <t>A2.7</t>
  </si>
  <si>
    <t>Break out existing concrete hardstanding</t>
  </si>
  <si>
    <t>A3. Earthworks &amp; Grading</t>
  </si>
  <si>
    <t>A4. Surface Drainage</t>
  </si>
  <si>
    <t>Repair existing drains</t>
  </si>
  <si>
    <t>A4.6</t>
  </si>
  <si>
    <t>A4.7</t>
  </si>
  <si>
    <t>A4.8</t>
  </si>
  <si>
    <t>A4.9</t>
  </si>
  <si>
    <t>A5.2</t>
  </si>
  <si>
    <t>A7.1</t>
  </si>
  <si>
    <t>A6.2</t>
  </si>
  <si>
    <t>A6.3</t>
  </si>
  <si>
    <t>A6.4</t>
  </si>
  <si>
    <t>A6.5</t>
  </si>
  <si>
    <t>A6.6</t>
  </si>
  <si>
    <t>A7.2</t>
  </si>
  <si>
    <t>C1. Demolition Work</t>
  </si>
  <si>
    <t>C1.1</t>
  </si>
  <si>
    <t>C1.2</t>
  </si>
  <si>
    <t>C1.3</t>
  </si>
  <si>
    <t>C2. Excavation and Earth Work</t>
  </si>
  <si>
    <t>C2.1</t>
  </si>
  <si>
    <t>C2.2</t>
  </si>
  <si>
    <t>C2.3</t>
  </si>
  <si>
    <t>C2.4</t>
  </si>
  <si>
    <t>C2.6</t>
  </si>
  <si>
    <t>C3-Concrete Work</t>
  </si>
  <si>
    <t>C3.1</t>
  </si>
  <si>
    <t>C3.2</t>
  </si>
  <si>
    <t>C3.4</t>
  </si>
  <si>
    <t>C3.5</t>
  </si>
  <si>
    <t>C3.6</t>
  </si>
  <si>
    <t>C3.7</t>
  </si>
  <si>
    <t>C3.8</t>
  </si>
  <si>
    <t>C3.9</t>
  </si>
  <si>
    <t>C3.10</t>
  </si>
  <si>
    <t>C3.11</t>
  </si>
  <si>
    <t>C3.12</t>
  </si>
  <si>
    <t>C3.13</t>
  </si>
  <si>
    <t>C3.14</t>
  </si>
  <si>
    <t>C3.15</t>
  </si>
  <si>
    <t>Measonary Work</t>
  </si>
  <si>
    <t>C4.1</t>
  </si>
  <si>
    <t>C3.16</t>
  </si>
  <si>
    <t>C4.2</t>
  </si>
  <si>
    <t>C4.3</t>
  </si>
  <si>
    <t>C5.1</t>
  </si>
  <si>
    <t>C5.2</t>
  </si>
  <si>
    <t>Water proofing Work</t>
  </si>
  <si>
    <t>C6.1</t>
  </si>
  <si>
    <t>Floor Finish</t>
  </si>
  <si>
    <t>C6.2</t>
  </si>
  <si>
    <t>C6.3</t>
  </si>
  <si>
    <t>Wall Finish</t>
  </si>
  <si>
    <t>C7.1</t>
  </si>
  <si>
    <t>C7.2</t>
  </si>
  <si>
    <t>Painting</t>
  </si>
  <si>
    <t>C8.1</t>
  </si>
  <si>
    <t>C8.2</t>
  </si>
  <si>
    <t>C8.3</t>
  </si>
  <si>
    <t>C9.1</t>
  </si>
  <si>
    <t>C9.2</t>
  </si>
  <si>
    <t>C9.3</t>
  </si>
  <si>
    <t>C9.4</t>
  </si>
  <si>
    <t>C9.5</t>
  </si>
  <si>
    <t>C9.6</t>
  </si>
  <si>
    <t>C9.7</t>
  </si>
  <si>
    <t>C9.8</t>
  </si>
  <si>
    <t>C9.10</t>
  </si>
  <si>
    <t>C9.11</t>
  </si>
  <si>
    <t>C9.12</t>
  </si>
  <si>
    <t>General</t>
  </si>
  <si>
    <t>C10.1</t>
  </si>
  <si>
    <t>C10.2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</si>
</sst>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18">
    <font>
      <sz val="11"/>
      <name val="Carlito"/>
    </font>
    <font>
      <b/>
      <sz val="11"/>
      <color rgb="FFFFFFFF"/>
      <name val="Carlito"/>
    </font>
    <font>
      <b/>
      <sz val="11"/>
      <name val="Carlito"/>
    </font>
    <font>
      <b/>
      <sz val="14"/>
      <color rgb="FFFFFFFF"/>
      <name val="Carlito"/>
    </font>
    <font>
      <b/>
      <sz val="11"/>
      <color rgb="FF1F4E78"/>
      <name val="Carlito"/>
    </font>
    <font>
      <b/>
      <sz val="11"/>
      <color rgb="FF000000"/>
      <name val="Carlito"/>
    </font>
    <font>
      <sz val="11"/>
      <color rgb="FF000000"/>
      <name val="Carlito"/>
    </font>
    <font>
      <sz val="12"/>
      <color rgb="FF000000"/>
      <name val="Carlito"/>
    </font>
    <font>
      <sz val="11"/>
      <name val="Carlito"/>
    </font>
    <font>
      <i/>
      <sz val="11"/>
      <color rgb="FF1F1F1F"/>
      <name val="Carlito"/>
    </font>
    <font>
      <i/>
      <sz val="11"/>
      <name val="Carlito"/>
    </font>
    <font>
      <sz val="11"/>
      <color rgb="FF1F1F1F"/>
      <name val="Carlito"/>
    </font>
    <font>
      <sz val="10"/>
      <color rgb="FF1F1F1F"/>
      <name val="Carlito"/>
    </font>
    <font>
      <b/>
      <sz val="11"/>
      <color rgb="FF1F1F1F"/>
      <name val="Carlito"/>
    </font>
    <font>
      <b/>
      <sz val="10"/>
      <color rgb="FF1F1F1F"/>
      <name val="Carlito"/>
    </font>
    <font>
      <sz val="8"/>
      <name val="Carlito"/>
    </font>
    <font>
      <b/>
      <sz val="14"/>
      <name val="Carlito"/>
    </font>
    <font>
      <b/>
      <sz val="13"/>
      <name val="Carlito"/>
    </font>
  </fonts>
  <fills count="32">
    <fill>
      <patternFill patternType="none"/>
    </fill>
    <fill>
      <patternFill patternType="gray125"/>
    </fill>
    <fill>
      <patternFill patternType="solid">
        <fgColor rgb="FF1F4E78"/>
      </patternFill>
    </fill>
    <fill>
      <patternFill patternType="solid">
        <fgColor rgb="FFFFF2CC"/>
      </patternFill>
    </fill>
    <fill>
      <patternFill patternType="solid">
        <fgColor rgb="FFE7E6E6"/>
      </patternFill>
    </fill>
    <fill>
      <patternFill patternType="solid">
        <fgColor rgb="FFF8F9FA"/>
      </patternFill>
    </fill>
    <fill>
      <patternFill patternType="solid">
        <fgColor rgb="FF1F4E78"/>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EAF2F8"/>
      </patternFill>
    </fill>
    <fill>
      <patternFill patternType="solid">
        <fgColor rgb="FF1F4E78"/>
      </patternFill>
    </fill>
    <fill>
      <patternFill patternType="solid">
        <fgColor rgb="FFD9EAF7"/>
      </patternFill>
    </fill>
    <fill>
      <patternFill patternType="solid">
        <fgColor rgb="FF5B9BD5"/>
      </patternFill>
    </fill>
    <fill>
      <patternFill patternType="solid">
        <fgColor rgb="FFEAF2F8"/>
      </patternFill>
    </fill>
    <fill>
      <patternFill patternType="solid">
        <fgColor rgb="FF1F4E78"/>
      </patternFill>
    </fill>
    <fill>
      <patternFill patternType="solid">
        <fgColor rgb="FFD9EAF7"/>
      </patternFill>
    </fill>
    <fill>
      <patternFill patternType="solid">
        <fgColor rgb="FF5B9BD5"/>
      </patternFill>
    </fill>
    <fill>
      <patternFill patternType="solid">
        <fgColor rgb="FFEAF2F8"/>
      </patternFill>
    </fill>
    <fill>
      <patternFill patternType="solid">
        <fgColor rgb="FF1F4E78"/>
      </patternFill>
    </fill>
    <fill>
      <patternFill patternType="solid">
        <fgColor rgb="FFD9EAF7"/>
      </patternFill>
    </fill>
    <fill>
      <patternFill patternType="solid">
        <fgColor rgb="FF5B9BD5"/>
      </patternFill>
    </fill>
    <fill>
      <patternFill patternType="solid">
        <fgColor rgb="FFEAF2F8"/>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FFF"/>
      </patternFill>
    </fill>
    <fill>
      <patternFill patternType="solid">
        <fgColor rgb="FFEAF2F8"/>
      </patternFill>
    </fill>
    <fill>
      <patternFill patternType="solid">
        <fgColor rgb="FFD9EAD3"/>
      </patternFill>
    </fill>
    <fill>
      <patternFill patternType="solid">
        <fgColor rgb="FFFFFF00"/>
        <bgColor indexed="64"/>
      </patternFill>
    </fill>
    <fill>
      <patternFill patternType="solid">
        <fgColor theme="5" tint="0.59999389629810485"/>
        <bgColor indexed="64"/>
      </patternFill>
    </fill>
  </fills>
  <borders count="4">
    <border>
      <left/>
      <right/>
      <top/>
      <bottom/>
      <diagonal/>
    </border>
    <border>
      <left/>
      <right/>
      <top/>
      <bottom style="thin">
        <color rgb="FF595959"/>
      </bottom>
      <diagonal/>
    </border>
    <border>
      <left/>
      <right/>
      <top/>
      <bottom style="thin">
        <color rgb="FF5B9BD5"/>
      </bottom>
      <diagonal/>
    </border>
    <border>
      <left/>
      <right/>
      <top style="thin">
        <color auto="1"/>
      </top>
      <bottom/>
      <diagonal/>
    </border>
  </borders>
  <cellStyleXfs count="2">
    <xf numFmtId="0" fontId="0" fillId="0" borderId="0"/>
    <xf numFmtId="43" fontId="8" fillId="0" borderId="0" applyFont="0" applyFill="0" applyBorder="0" applyAlignment="0" applyProtection="0"/>
  </cellStyleXfs>
  <cellXfs count="126">
    <xf numFmtId="0" fontId="0" fillId="0" borderId="0" xfId="0"/>
    <xf numFmtId="0" fontId="1" fillId="2" borderId="0" xfId="0" applyFont="1" applyFill="1" applyAlignment="1">
      <alignment wrapText="1"/>
    </xf>
    <xf numFmtId="0" fontId="0" fillId="0" borderId="0" xfId="0" applyAlignment="1">
      <alignment wrapText="1"/>
    </xf>
    <xf numFmtId="165" fontId="0" fillId="3" borderId="0" xfId="0" applyNumberFormat="1" applyFill="1" applyAlignment="1">
      <alignment wrapText="1"/>
    </xf>
    <xf numFmtId="4" fontId="0" fillId="0" borderId="0" xfId="0" applyNumberFormat="1" applyAlignment="1">
      <alignment wrapText="1"/>
    </xf>
    <xf numFmtId="0" fontId="2" fillId="4" borderId="0" xfId="0" applyFont="1" applyFill="1" applyAlignment="1">
      <alignment wrapText="1"/>
    </xf>
    <xf numFmtId="0" fontId="0" fillId="0" borderId="0" xfId="0" applyAlignment="1">
      <alignment vertical="top" wrapText="1"/>
    </xf>
    <xf numFmtId="164" fontId="0" fillId="0" borderId="0" xfId="0" applyNumberFormat="1" applyAlignment="1">
      <alignment wrapText="1"/>
    </xf>
    <xf numFmtId="0" fontId="0" fillId="0" borderId="0" xfId="0" applyAlignment="1">
      <alignment vertical="top"/>
    </xf>
    <xf numFmtId="0" fontId="2" fillId="0" borderId="0" xfId="0" applyFont="1" applyAlignment="1">
      <alignment vertical="top" wrapText="1"/>
    </xf>
    <xf numFmtId="0" fontId="1" fillId="7" borderId="0" xfId="0" applyFont="1" applyFill="1" applyAlignment="1">
      <alignment horizontal="center" vertical="center" wrapText="1"/>
    </xf>
    <xf numFmtId="9" fontId="0" fillId="0" borderId="0" xfId="0" applyNumberFormat="1" applyAlignment="1">
      <alignment wrapText="1"/>
    </xf>
    <xf numFmtId="0" fontId="1" fillId="10" borderId="0" xfId="0" applyFont="1" applyFill="1" applyAlignment="1">
      <alignment horizontal="center" vertical="center" wrapText="1"/>
    </xf>
    <xf numFmtId="0" fontId="1" fillId="14" borderId="0" xfId="0" applyFont="1" applyFill="1" applyAlignment="1">
      <alignment horizontal="center" vertical="center" wrapText="1"/>
    </xf>
    <xf numFmtId="0" fontId="1" fillId="18" borderId="0" xfId="0" applyFont="1" applyFill="1" applyAlignment="1">
      <alignment horizontal="center" vertical="center" wrapText="1"/>
    </xf>
    <xf numFmtId="0" fontId="1" fillId="22" borderId="0" xfId="0" applyFont="1" applyFill="1" applyAlignment="1">
      <alignment horizontal="center" vertical="center" wrapText="1"/>
    </xf>
    <xf numFmtId="0" fontId="1" fillId="26" borderId="0" xfId="0" applyFont="1" applyFill="1" applyAlignment="1">
      <alignment horizontal="center" vertical="center" wrapText="1"/>
    </xf>
    <xf numFmtId="0" fontId="0" fillId="0" borderId="0" xfId="0" applyAlignment="1">
      <alignment horizontal="left" vertical="top"/>
    </xf>
    <xf numFmtId="0" fontId="1" fillId="26" borderId="0" xfId="0" applyFont="1" applyFill="1" applyAlignment="1">
      <alignment horizontal="left" vertical="top" wrapText="1"/>
    </xf>
    <xf numFmtId="0" fontId="13" fillId="28" borderId="0" xfId="0" applyFont="1" applyFill="1" applyAlignment="1">
      <alignment horizontal="left" vertical="top" wrapText="1"/>
    </xf>
    <xf numFmtId="4" fontId="13" fillId="28" borderId="0" xfId="0" applyNumberFormat="1" applyFont="1" applyFill="1" applyAlignment="1">
      <alignment horizontal="left" vertical="top" wrapText="1"/>
    </xf>
    <xf numFmtId="0" fontId="14" fillId="28" borderId="0" xfId="0" applyFont="1" applyFill="1" applyAlignment="1">
      <alignment horizontal="left" vertical="top" wrapText="1"/>
    </xf>
    <xf numFmtId="0" fontId="11" fillId="27" borderId="0" xfId="0" applyFont="1" applyFill="1" applyAlignment="1">
      <alignment horizontal="left" vertical="top" wrapText="1"/>
    </xf>
    <xf numFmtId="4" fontId="11" fillId="27" borderId="0" xfId="0" applyNumberFormat="1" applyFont="1" applyFill="1" applyAlignment="1">
      <alignment horizontal="left" vertical="top" wrapText="1"/>
    </xf>
    <xf numFmtId="0" fontId="12" fillId="27" borderId="0" xfId="0" applyFont="1" applyFill="1" applyAlignment="1">
      <alignment horizontal="left" vertical="top" wrapText="1"/>
    </xf>
    <xf numFmtId="0" fontId="13" fillId="28" borderId="1" xfId="0" applyFont="1" applyFill="1" applyBorder="1" applyAlignment="1">
      <alignment horizontal="left" vertical="top" wrapText="1"/>
    </xf>
    <xf numFmtId="4" fontId="13" fillId="28" borderId="1" xfId="0" applyNumberFormat="1" applyFont="1" applyFill="1" applyBorder="1" applyAlignment="1">
      <alignment horizontal="left" vertical="top" wrapText="1"/>
    </xf>
    <xf numFmtId="0" fontId="13" fillId="27" borderId="0" xfId="0" applyFont="1" applyFill="1" applyAlignment="1">
      <alignment horizontal="left" vertical="top" wrapText="1"/>
    </xf>
    <xf numFmtId="4" fontId="13" fillId="27" borderId="0" xfId="0" applyNumberFormat="1" applyFont="1" applyFill="1" applyAlignment="1">
      <alignment horizontal="left" vertical="top" wrapText="1"/>
    </xf>
    <xf numFmtId="4" fontId="14" fillId="27" borderId="0" xfId="0" applyNumberFormat="1" applyFont="1" applyFill="1" applyAlignment="1">
      <alignment horizontal="left" vertical="top" wrapText="1"/>
    </xf>
    <xf numFmtId="0" fontId="13" fillId="29" borderId="0" xfId="0" applyFont="1" applyFill="1" applyAlignment="1">
      <alignment horizontal="left" vertical="top" wrapText="1"/>
    </xf>
    <xf numFmtId="4" fontId="14" fillId="29" borderId="0" xfId="0" applyNumberFormat="1" applyFont="1" applyFill="1" applyAlignment="1">
      <alignment horizontal="left" vertical="top" wrapText="1"/>
    </xf>
    <xf numFmtId="4" fontId="13" fillId="29" borderId="0" xfId="0" applyNumberFormat="1" applyFont="1" applyFill="1" applyAlignment="1">
      <alignment horizontal="left" vertical="top" wrapText="1"/>
    </xf>
    <xf numFmtId="0" fontId="13" fillId="30" borderId="0" xfId="0" applyFont="1" applyFill="1" applyAlignment="1">
      <alignment horizontal="left" vertical="top" wrapText="1"/>
    </xf>
    <xf numFmtId="4" fontId="14" fillId="30" borderId="0" xfId="0" applyNumberFormat="1" applyFont="1" applyFill="1" applyAlignment="1">
      <alignment horizontal="left" vertical="top" wrapText="1"/>
    </xf>
    <xf numFmtId="4" fontId="13" fillId="30" borderId="0" xfId="0" applyNumberFormat="1" applyFont="1" applyFill="1" applyAlignment="1">
      <alignment horizontal="left" vertical="top" wrapText="1"/>
    </xf>
    <xf numFmtId="0" fontId="0" fillId="30" borderId="0" xfId="0" applyFill="1" applyAlignment="1">
      <alignment horizontal="left" vertical="top"/>
    </xf>
    <xf numFmtId="0" fontId="0" fillId="31" borderId="0" xfId="0" applyFill="1" applyAlignment="1">
      <alignment vertical="top" wrapText="1"/>
    </xf>
    <xf numFmtId="0" fontId="0" fillId="31" borderId="0" xfId="0" applyFill="1" applyAlignment="1">
      <alignment vertical="top"/>
    </xf>
    <xf numFmtId="0" fontId="1" fillId="10" borderId="0" xfId="0" applyFont="1" applyFill="1" applyAlignment="1">
      <alignment horizontal="center" vertical="top" wrapText="1"/>
    </xf>
    <xf numFmtId="0" fontId="0" fillId="11" borderId="0" xfId="0" applyFill="1" applyAlignment="1">
      <alignment vertical="top" wrapText="1"/>
    </xf>
    <xf numFmtId="2" fontId="0" fillId="0" borderId="0" xfId="0" applyNumberFormat="1" applyAlignment="1">
      <alignment vertical="top" wrapText="1"/>
    </xf>
    <xf numFmtId="3" fontId="0" fillId="0" borderId="0" xfId="0" applyNumberFormat="1" applyAlignment="1">
      <alignment vertical="top" wrapText="1"/>
    </xf>
    <xf numFmtId="3" fontId="2" fillId="0" borderId="0" xfId="0" applyNumberFormat="1" applyFont="1" applyAlignment="1">
      <alignment vertical="top" wrapText="1"/>
    </xf>
    <xf numFmtId="9" fontId="2" fillId="0" borderId="0" xfId="0" applyNumberFormat="1" applyFont="1" applyAlignment="1">
      <alignment vertical="top" wrapText="1"/>
    </xf>
    <xf numFmtId="2" fontId="0" fillId="31" borderId="0" xfId="0" applyNumberFormat="1" applyFill="1" applyAlignment="1">
      <alignment vertical="top" wrapText="1"/>
    </xf>
    <xf numFmtId="3" fontId="0" fillId="31" borderId="0" xfId="0" applyNumberFormat="1" applyFill="1" applyAlignment="1">
      <alignment vertical="top" wrapText="1"/>
    </xf>
    <xf numFmtId="3" fontId="0" fillId="31" borderId="0" xfId="0" applyNumberFormat="1" applyFill="1" applyAlignment="1">
      <alignment horizontal="center" vertical="top" wrapText="1"/>
    </xf>
    <xf numFmtId="0" fontId="1" fillId="14" borderId="0" xfId="0" applyFont="1" applyFill="1" applyAlignment="1">
      <alignment horizontal="center" vertical="top" wrapText="1"/>
    </xf>
    <xf numFmtId="0" fontId="0" fillId="15" borderId="0" xfId="0" applyFill="1" applyAlignment="1">
      <alignment vertical="top" wrapText="1"/>
    </xf>
    <xf numFmtId="0" fontId="1" fillId="18" borderId="0" xfId="0" applyFont="1" applyFill="1" applyAlignment="1">
      <alignment horizontal="center" vertical="top" wrapText="1"/>
    </xf>
    <xf numFmtId="0" fontId="0" fillId="19" borderId="0" xfId="0" applyFill="1" applyAlignment="1">
      <alignment vertical="top" wrapText="1"/>
    </xf>
    <xf numFmtId="0" fontId="1" fillId="22" borderId="0" xfId="0" applyFont="1" applyFill="1" applyAlignment="1">
      <alignment horizontal="center" vertical="top" wrapText="1"/>
    </xf>
    <xf numFmtId="0" fontId="0" fillId="23" borderId="0" xfId="0" applyFill="1" applyAlignment="1">
      <alignment vertical="top" wrapText="1"/>
    </xf>
    <xf numFmtId="0" fontId="2" fillId="0" borderId="0" xfId="0" applyFont="1" applyAlignment="1">
      <alignment vertical="top"/>
    </xf>
    <xf numFmtId="0" fontId="4" fillId="0" borderId="2" xfId="0" applyFont="1" applyBorder="1" applyAlignment="1">
      <alignment vertical="top"/>
    </xf>
    <xf numFmtId="0" fontId="0" fillId="0" borderId="0" xfId="0" applyAlignment="1">
      <alignment horizontal="justify" vertical="top" wrapText="1"/>
    </xf>
    <xf numFmtId="165" fontId="0" fillId="0" borderId="0" xfId="0" applyNumberFormat="1" applyAlignment="1">
      <alignment vertical="top" wrapText="1"/>
    </xf>
    <xf numFmtId="4" fontId="0" fillId="0" borderId="0" xfId="0" applyNumberFormat="1" applyAlignment="1">
      <alignment vertical="top" wrapText="1"/>
    </xf>
    <xf numFmtId="4" fontId="2" fillId="0" borderId="0" xfId="0" applyNumberFormat="1" applyFont="1" applyAlignment="1">
      <alignment vertical="top" wrapText="1"/>
    </xf>
    <xf numFmtId="0" fontId="2" fillId="0" borderId="0" xfId="0" applyFont="1" applyAlignment="1">
      <alignment horizontal="justify" vertical="top" wrapText="1"/>
    </xf>
    <xf numFmtId="4" fontId="0" fillId="0" borderId="0" xfId="0" applyNumberFormat="1" applyAlignment="1">
      <alignment vertical="top"/>
    </xf>
    <xf numFmtId="165" fontId="4" fillId="0" borderId="2" xfId="0" applyNumberFormat="1" applyFont="1" applyBorder="1" applyAlignment="1">
      <alignment vertical="top"/>
    </xf>
    <xf numFmtId="4" fontId="4" fillId="0" borderId="2" xfId="0" applyNumberFormat="1" applyFont="1" applyBorder="1" applyAlignment="1">
      <alignment vertical="top"/>
    </xf>
    <xf numFmtId="43" fontId="0" fillId="0" borderId="0" xfId="1" applyFont="1" applyFill="1" applyAlignment="1">
      <alignment vertical="top"/>
    </xf>
    <xf numFmtId="0" fontId="4" fillId="0" borderId="2" xfId="0" applyFont="1" applyBorder="1" applyAlignment="1">
      <alignment vertical="top" wrapText="1"/>
    </xf>
    <xf numFmtId="165" fontId="4" fillId="0" borderId="2" xfId="0" applyNumberFormat="1" applyFont="1" applyBorder="1" applyAlignment="1">
      <alignment vertical="top" wrapText="1"/>
    </xf>
    <xf numFmtId="4" fontId="4" fillId="0" borderId="2" xfId="0" applyNumberFormat="1" applyFont="1" applyBorder="1" applyAlignment="1">
      <alignment vertical="top" wrapText="1"/>
    </xf>
    <xf numFmtId="0" fontId="5" fillId="0" borderId="0" xfId="0" applyFont="1" applyAlignment="1">
      <alignment vertical="top" wrapText="1"/>
    </xf>
    <xf numFmtId="165" fontId="5" fillId="0" borderId="0" xfId="0" applyNumberFormat="1" applyFont="1" applyAlignment="1">
      <alignment vertical="top" wrapText="1"/>
    </xf>
    <xf numFmtId="4" fontId="5" fillId="0" borderId="0" xfId="0" applyNumberFormat="1" applyFont="1" applyAlignment="1">
      <alignment vertical="top" wrapText="1"/>
    </xf>
    <xf numFmtId="0" fontId="6" fillId="0" borderId="0" xfId="0" applyFont="1" applyAlignment="1">
      <alignment vertical="top" wrapText="1"/>
    </xf>
    <xf numFmtId="0" fontId="6" fillId="0" borderId="0" xfId="0" applyFont="1" applyAlignment="1">
      <alignment horizontal="justify" vertical="top" wrapText="1"/>
    </xf>
    <xf numFmtId="165" fontId="6" fillId="0" borderId="0" xfId="0" applyNumberFormat="1" applyFont="1" applyAlignment="1">
      <alignment vertical="top" wrapText="1"/>
    </xf>
    <xf numFmtId="4" fontId="6" fillId="0" borderId="0" xfId="0" applyNumberFormat="1" applyFont="1" applyAlignment="1">
      <alignment vertical="top" wrapText="1"/>
    </xf>
    <xf numFmtId="0" fontId="7" fillId="0" borderId="0" xfId="0" applyFont="1" applyAlignment="1">
      <alignment vertical="top" wrapText="1"/>
    </xf>
    <xf numFmtId="0" fontId="7" fillId="0" borderId="0" xfId="0" applyFont="1" applyAlignment="1">
      <alignment horizontal="justify" vertical="top" wrapText="1"/>
    </xf>
    <xf numFmtId="165" fontId="7" fillId="0" borderId="0" xfId="0" applyNumberFormat="1" applyFont="1" applyAlignment="1">
      <alignment vertical="top" wrapText="1"/>
    </xf>
    <xf numFmtId="4" fontId="7" fillId="0" borderId="0" xfId="0" applyNumberFormat="1" applyFont="1" applyAlignment="1">
      <alignment vertical="top" wrapText="1"/>
    </xf>
    <xf numFmtId="0" fontId="5" fillId="0" borderId="0" xfId="0" applyFont="1" applyAlignment="1">
      <alignment vertical="top"/>
    </xf>
    <xf numFmtId="4" fontId="5" fillId="0" borderId="0" xfId="0" applyNumberFormat="1" applyFont="1" applyAlignment="1">
      <alignment vertical="top"/>
    </xf>
    <xf numFmtId="0" fontId="0" fillId="0" borderId="0" xfId="0" applyAlignment="1">
      <alignment horizontal="justify" vertical="top"/>
    </xf>
    <xf numFmtId="0" fontId="16" fillId="0" borderId="0" xfId="0" applyFont="1" applyAlignment="1">
      <alignment horizontal="center" vertical="top"/>
    </xf>
    <xf numFmtId="164" fontId="0" fillId="0" borderId="0" xfId="0" applyNumberFormat="1" applyAlignment="1">
      <alignment vertical="top"/>
    </xf>
    <xf numFmtId="0" fontId="2" fillId="0" borderId="0" xfId="0" applyFont="1" applyAlignment="1">
      <alignment horizontal="center" vertical="top" wrapText="1"/>
    </xf>
    <xf numFmtId="0" fontId="16" fillId="0" borderId="0" xfId="0" applyFont="1" applyAlignment="1">
      <alignment horizontal="left" vertical="top"/>
    </xf>
    <xf numFmtId="0" fontId="17" fillId="0" borderId="0" xfId="0" applyFont="1" applyAlignment="1">
      <alignment vertical="top" wrapText="1"/>
    </xf>
    <xf numFmtId="0" fontId="10" fillId="0" borderId="0" xfId="0" applyFont="1" applyAlignment="1">
      <alignment vertical="top" wrapText="1"/>
    </xf>
    <xf numFmtId="0" fontId="2" fillId="0" borderId="3" xfId="0" applyFont="1" applyBorder="1" applyAlignment="1">
      <alignment vertical="top" wrapText="1"/>
    </xf>
    <xf numFmtId="3" fontId="2" fillId="0" borderId="3" xfId="0" applyNumberFormat="1" applyFont="1" applyBorder="1" applyAlignment="1">
      <alignment vertical="top" wrapText="1"/>
    </xf>
    <xf numFmtId="0" fontId="0" fillId="30" borderId="0" xfId="0" applyFill="1" applyAlignment="1">
      <alignment vertical="top" wrapText="1"/>
    </xf>
    <xf numFmtId="0" fontId="0" fillId="30" borderId="0" xfId="0" applyFill="1" applyAlignment="1">
      <alignment horizontal="justify" vertical="top" wrapText="1"/>
    </xf>
    <xf numFmtId="2" fontId="0" fillId="30" borderId="0" xfId="0" applyNumberFormat="1" applyFill="1" applyAlignment="1">
      <alignment vertical="top" wrapText="1"/>
    </xf>
    <xf numFmtId="3" fontId="0" fillId="30" borderId="0" xfId="0" applyNumberFormat="1" applyFill="1" applyAlignment="1">
      <alignment vertical="top" wrapText="1"/>
    </xf>
    <xf numFmtId="0" fontId="0" fillId="30" borderId="0" xfId="0" applyFill="1" applyAlignment="1">
      <alignment vertical="top"/>
    </xf>
    <xf numFmtId="0" fontId="17" fillId="0" borderId="0" xfId="0" applyFont="1" applyAlignment="1">
      <alignment vertical="top" wrapText="1"/>
    </xf>
    <xf numFmtId="0" fontId="0" fillId="0" borderId="0" xfId="0" applyAlignment="1">
      <alignment vertical="top" wrapText="1"/>
    </xf>
    <xf numFmtId="0" fontId="3" fillId="24" borderId="0" xfId="0" applyFont="1" applyFill="1" applyAlignment="1">
      <alignment horizontal="left" vertical="top"/>
    </xf>
    <xf numFmtId="0" fontId="9" fillId="25" borderId="0" xfId="0" applyFont="1" applyFill="1" applyAlignment="1">
      <alignment horizontal="left" vertical="top" wrapText="1"/>
    </xf>
    <xf numFmtId="0" fontId="2" fillId="0" borderId="0" xfId="0" applyFont="1" applyAlignment="1">
      <alignment vertical="top" wrapText="1"/>
    </xf>
    <xf numFmtId="165" fontId="2" fillId="0" borderId="0" xfId="0" applyNumberFormat="1" applyFont="1" applyAlignment="1">
      <alignment vertical="top" wrapText="1"/>
    </xf>
    <xf numFmtId="4" fontId="2" fillId="0" borderId="0" xfId="0" applyNumberFormat="1" applyFont="1" applyAlignment="1">
      <alignment vertical="top" wrapText="1"/>
    </xf>
    <xf numFmtId="0" fontId="2"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0" fontId="0" fillId="5" borderId="0" xfId="0" applyFill="1" applyAlignment="1">
      <alignment wrapText="1"/>
    </xf>
    <xf numFmtId="0" fontId="3" fillId="2" borderId="0" xfId="0" applyFont="1" applyFill="1" applyAlignment="1">
      <alignment horizontal="center"/>
    </xf>
    <xf numFmtId="0" fontId="1" fillId="2" borderId="0" xfId="0" applyFont="1" applyFill="1"/>
    <xf numFmtId="0" fontId="16" fillId="0" borderId="0" xfId="0" applyFont="1" applyAlignment="1">
      <alignment horizontal="center" vertical="top"/>
    </xf>
    <xf numFmtId="0" fontId="10" fillId="0" borderId="0" xfId="0" applyFont="1" applyAlignment="1">
      <alignment vertical="top" wrapText="1"/>
    </xf>
    <xf numFmtId="0" fontId="3" fillId="6" borderId="0" xfId="0" applyFont="1" applyFill="1" applyAlignment="1">
      <alignment horizontal="center" vertical="center" wrapText="1"/>
    </xf>
    <xf numFmtId="0" fontId="3" fillId="8" borderId="0" xfId="0" applyFont="1" applyFill="1" applyAlignment="1">
      <alignment horizontal="center" vertical="top"/>
    </xf>
    <xf numFmtId="0" fontId="10" fillId="9" borderId="0" xfId="0" applyFont="1" applyFill="1" applyAlignment="1">
      <alignment vertical="top" wrapText="1"/>
    </xf>
    <xf numFmtId="0" fontId="3" fillId="8" borderId="0" xfId="0" applyFont="1" applyFill="1" applyAlignment="1">
      <alignment horizontal="center" vertical="center" wrapText="1"/>
    </xf>
    <xf numFmtId="0" fontId="3" fillId="12" borderId="0" xfId="0" applyFont="1" applyFill="1" applyAlignment="1">
      <alignment horizontal="center" vertical="top"/>
    </xf>
    <xf numFmtId="0" fontId="9" fillId="13" borderId="0" xfId="0" applyFont="1" applyFill="1" applyAlignment="1">
      <alignment vertical="top" wrapText="1"/>
    </xf>
    <xf numFmtId="0" fontId="3" fillId="12" borderId="0" xfId="0" applyFont="1" applyFill="1" applyAlignment="1">
      <alignment horizontal="center" vertical="center" wrapText="1"/>
    </xf>
    <xf numFmtId="0" fontId="3" fillId="16" borderId="0" xfId="0" applyFont="1" applyFill="1" applyAlignment="1">
      <alignment horizontal="center" vertical="top"/>
    </xf>
    <xf numFmtId="0" fontId="9" fillId="17" borderId="0" xfId="0" applyFont="1" applyFill="1" applyAlignment="1">
      <alignment vertical="top" wrapText="1"/>
    </xf>
    <xf numFmtId="0" fontId="3" fillId="16" borderId="0" xfId="0" applyFont="1" applyFill="1" applyAlignment="1">
      <alignment horizontal="center" vertical="center" wrapText="1"/>
    </xf>
    <xf numFmtId="0" fontId="3" fillId="20" borderId="0" xfId="0" applyFont="1" applyFill="1" applyAlignment="1">
      <alignment horizontal="center" vertical="top"/>
    </xf>
    <xf numFmtId="0" fontId="9" fillId="21" borderId="0" xfId="0" applyFont="1" applyFill="1" applyAlignment="1">
      <alignment vertical="top" wrapText="1"/>
    </xf>
    <xf numFmtId="0" fontId="3" fillId="20" borderId="0" xfId="0" applyFont="1" applyFill="1" applyAlignment="1">
      <alignment horizontal="center" vertical="center" wrapText="1"/>
    </xf>
    <xf numFmtId="0" fontId="3" fillId="24" borderId="0" xfId="0" applyFont="1" applyFill="1" applyAlignment="1">
      <alignment horizontal="center" vertical="center"/>
    </xf>
    <xf numFmtId="0" fontId="9" fillId="25" borderId="0" xfId="0" applyFont="1" applyFill="1" applyAlignment="1">
      <alignment wrapText="1"/>
    </xf>
    <xf numFmtId="0" fontId="3" fillId="24" borderId="0" xfId="0" applyFont="1" applyFill="1" applyAlignment="1">
      <alignment horizontal="center" vertical="center" wrapText="1"/>
    </xf>
  </cellXfs>
  <cellStyles count="2">
    <cellStyle name="Comma"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Package Total</c:v>
          </c:tx>
          <c:invertIfNegative val="1"/>
          <c:cat>
            <c:strRef>
              <c:f>Summary!$A$5:$A$7</c:f>
              <c:strCache>
                <c:ptCount val="3"/>
                <c:pt idx="0">
                  <c:v>A. Site Works / Landscaping – REVIEWED</c:v>
                </c:pt>
                <c:pt idx="1">
                  <c:v>B. Modular Operating Theatre Package</c:v>
                </c:pt>
                <c:pt idx="2">
                  <c:v>C. Added Renovation Works incl. Equipment Relocation &amp; MEP Strip-out</c:v>
                </c:pt>
              </c:strCache>
            </c:strRef>
          </c:cat>
          <c:val>
            <c:numRef>
              <c:f>Summary!$E$5:$E$7</c:f>
              <c:numCache>
                <c:formatCode>#,##0.00</c:formatCode>
                <c:ptCount val="3"/>
                <c:pt idx="0">
                  <c:v>9882742.0999999996</c:v>
                </c:pt>
                <c:pt idx="1">
                  <c:v>192889759.93343651</c:v>
                </c:pt>
                <c:pt idx="2">
                  <c:v>81153849.304733336</c:v>
                </c:pt>
              </c:numCache>
            </c:numRef>
          </c:val>
          <c:extLst>
            <c:ext xmlns:c16="http://schemas.microsoft.com/office/drawing/2014/chart" uri="{C3380CC4-5D6E-409C-BE32-E72D297353CC}">
              <c16:uniqueId val="{00000000-3B42-4A0A-9100-2BC14EFA51C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3</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8" workbookViewId="0">
      <selection activeCell="A5" sqref="A5"/>
    </sheetView>
  </sheetViews>
  <sheetFormatPr defaultColWidth="8.69921875" defaultRowHeight="13.8"/>
  <cols>
    <col min="1" max="1" width="48" style="17" customWidth="1"/>
    <col min="2" max="2" width="23" style="17" customWidth="1"/>
    <col min="3" max="3" width="21" style="17" customWidth="1"/>
    <col min="4" max="4" width="20" style="17" customWidth="1"/>
    <col min="5" max="5" width="23" style="17" customWidth="1"/>
    <col min="6" max="6" width="54" style="17" customWidth="1"/>
    <col min="7" max="16384" width="8.69921875" style="17"/>
  </cols>
  <sheetData>
    <row r="1" spans="1:6" ht="17.399999999999999">
      <c r="A1" s="97" t="s">
        <v>917</v>
      </c>
      <c r="B1" s="97"/>
      <c r="C1" s="97"/>
      <c r="D1" s="97"/>
      <c r="E1" s="97"/>
      <c r="F1" s="97"/>
    </row>
    <row r="2" spans="1:6" ht="14.4">
      <c r="A2" s="98" t="s">
        <v>918</v>
      </c>
      <c r="B2" s="98"/>
      <c r="C2" s="98"/>
      <c r="D2" s="98"/>
      <c r="E2" s="98"/>
      <c r="F2" s="98"/>
    </row>
    <row r="4" spans="1:6" ht="27.6">
      <c r="A4" s="18" t="s">
        <v>919</v>
      </c>
      <c r="B4" s="18" t="s">
        <v>920</v>
      </c>
      <c r="C4" s="18" t="s">
        <v>921</v>
      </c>
      <c r="D4" s="18" t="s">
        <v>922</v>
      </c>
      <c r="E4" s="18" t="s">
        <v>923</v>
      </c>
      <c r="F4" s="18" t="s">
        <v>924</v>
      </c>
    </row>
    <row r="5" spans="1:6" ht="26.4">
      <c r="A5" s="19" t="s">
        <v>925</v>
      </c>
      <c r="B5" s="20">
        <f>'Site Works - Reviewed'!J39</f>
        <v>8984311</v>
      </c>
      <c r="C5" s="20">
        <f>'Site Works - Reviewed'!J41</f>
        <v>898431.10000000009</v>
      </c>
      <c r="D5" s="20">
        <v>0</v>
      </c>
      <c r="E5" s="20">
        <f>'Site Works - Reviewed'!J42</f>
        <v>9882742.0999999996</v>
      </c>
      <c r="F5" s="21" t="s">
        <v>926</v>
      </c>
    </row>
    <row r="6" spans="1:6" ht="26.4">
      <c r="A6" s="22" t="s">
        <v>927</v>
      </c>
      <c r="B6" s="23">
        <v>148605362.04425001</v>
      </c>
      <c r="C6" s="23">
        <v>14860536.204425</v>
      </c>
      <c r="D6" s="23">
        <v>29423861.684761502</v>
      </c>
      <c r="E6" s="23">
        <v>192889759.93343651</v>
      </c>
      <c r="F6" s="24" t="s">
        <v>928</v>
      </c>
    </row>
    <row r="7" spans="1:6" ht="27.6">
      <c r="A7" s="22" t="s">
        <v>929</v>
      </c>
      <c r="B7" s="23">
        <f>'Added Renovation BOQ'!G100</f>
        <v>76810176.766666666</v>
      </c>
      <c r="C7" s="23">
        <v>6252222.5966666667</v>
      </c>
      <c r="D7" s="23">
        <v>12379400.7414</v>
      </c>
      <c r="E7" s="23">
        <v>81153849.304733336</v>
      </c>
      <c r="F7" s="24" t="s">
        <v>930</v>
      </c>
    </row>
    <row r="8" spans="1:6" ht="27.6">
      <c r="A8" s="25" t="s">
        <v>931</v>
      </c>
      <c r="B8" s="26">
        <f>'MVAC BOQ &amp; Estimate'!G31</f>
        <v>98100000</v>
      </c>
      <c r="C8" s="26" t="e">
        <f>'MVAC BOQ &amp; Estimate'!#REF!</f>
        <v>#REF!</v>
      </c>
      <c r="D8" s="26">
        <v>0</v>
      </c>
      <c r="E8" s="26" t="e">
        <f>'MVAC BOQ &amp; Estimate'!#REF!</f>
        <v>#REF!</v>
      </c>
      <c r="F8" s="25" t="s">
        <v>932</v>
      </c>
    </row>
    <row r="9" spans="1:6" ht="27.6">
      <c r="A9" s="22" t="s">
        <v>933</v>
      </c>
      <c r="B9" s="23">
        <f>'Medical Gas BOQ &amp; Estimate'!G30</f>
        <v>40525000</v>
      </c>
      <c r="C9" s="23" t="e">
        <f>'Medical Gas BOQ &amp; Estimate'!#REF!</f>
        <v>#REF!</v>
      </c>
      <c r="D9" s="23">
        <v>0</v>
      </c>
      <c r="E9" s="23" t="e">
        <f>'Medical Gas BOQ &amp; Estimate'!#REF!</f>
        <v>#REF!</v>
      </c>
      <c r="F9" s="22" t="s">
        <v>934</v>
      </c>
    </row>
    <row r="10" spans="1:6" ht="27.6">
      <c r="A10" s="27" t="s">
        <v>935</v>
      </c>
      <c r="B10" s="28">
        <f>'Water Supply BOQ &amp; Estimate'!G32</f>
        <v>7038560</v>
      </c>
      <c r="C10" s="28" t="e">
        <f>'Water Supply BOQ &amp; Estimate'!#REF!</f>
        <v>#REF!</v>
      </c>
      <c r="D10" s="28">
        <v>0</v>
      </c>
      <c r="E10" s="28" t="e">
        <f>'Water Supply BOQ &amp; Estimate'!#REF!</f>
        <v>#REF!</v>
      </c>
      <c r="F10" s="27" t="s">
        <v>936</v>
      </c>
    </row>
    <row r="11" spans="1:6">
      <c r="A11" s="27" t="s">
        <v>937</v>
      </c>
      <c r="B11" s="28">
        <f>'Wastewater &amp; Sewer BOQ'!G30</f>
        <v>5632000</v>
      </c>
      <c r="C11" s="28">
        <f>'Wastewater &amp; Sewer BOQ'!G32</f>
        <v>563200</v>
      </c>
      <c r="D11" s="28">
        <v>0</v>
      </c>
      <c r="E11" s="28">
        <f>'Wastewater &amp; Sewer BOQ'!G33</f>
        <v>6195200</v>
      </c>
      <c r="F11" s="27" t="s">
        <v>938</v>
      </c>
    </row>
    <row r="12" spans="1:6" ht="41.4">
      <c r="A12" s="19" t="s">
        <v>939</v>
      </c>
      <c r="B12" s="20">
        <f>'Rainwater Disposal BOQ'!G24</f>
        <v>3479000</v>
      </c>
      <c r="C12" s="20" t="e">
        <f>'Rainwater Disposal BOQ'!#REF!</f>
        <v>#REF!</v>
      </c>
      <c r="D12" s="20">
        <v>0</v>
      </c>
      <c r="E12" s="20" t="e">
        <f>'Rainwater Disposal BOQ'!#REF!</f>
        <v>#REF!</v>
      </c>
      <c r="F12" s="19" t="s">
        <v>940</v>
      </c>
    </row>
    <row r="13" spans="1:6" ht="27.6">
      <c r="A13" s="19" t="s">
        <v>941</v>
      </c>
      <c r="B13" s="20">
        <f>'Electrical BOQ - Reviewed'!K54</f>
        <v>18731600</v>
      </c>
      <c r="C13" s="20">
        <f>'Electrical BOQ - Reviewed'!K56</f>
        <v>1873160</v>
      </c>
      <c r="D13" s="20">
        <v>0</v>
      </c>
      <c r="E13" s="20">
        <f>'Electrical BOQ - Reviewed'!K57</f>
        <v>20604760</v>
      </c>
      <c r="F13" s="19" t="s">
        <v>942</v>
      </c>
    </row>
    <row r="14" spans="1:6" s="36" customFormat="1" ht="27.6">
      <c r="A14" s="33" t="s">
        <v>943</v>
      </c>
      <c r="B14" s="34">
        <f>'Ancillary Works - Reviewed'!H65</f>
        <v>15503821</v>
      </c>
      <c r="C14" s="35"/>
      <c r="D14" s="35">
        <v>0</v>
      </c>
      <c r="E14" s="35"/>
      <c r="F14" s="33" t="s">
        <v>944</v>
      </c>
    </row>
    <row r="15" spans="1:6">
      <c r="A15" s="27"/>
      <c r="B15" s="29"/>
      <c r="C15" s="28"/>
      <c r="D15" s="28"/>
      <c r="E15" s="28"/>
      <c r="F15" s="27"/>
    </row>
    <row r="16" spans="1:6" ht="55.2">
      <c r="A16" s="30" t="s">
        <v>945</v>
      </c>
      <c r="B16" s="31">
        <f>SUM(B5:B14)</f>
        <v>423409830.81091666</v>
      </c>
      <c r="C16" s="32"/>
      <c r="D16" s="32">
        <f>SUM(D5:D14)</f>
        <v>41803262.426161498</v>
      </c>
      <c r="E16" s="32"/>
      <c r="F16" s="30" t="s">
        <v>946</v>
      </c>
    </row>
    <row r="17" spans="1:6">
      <c r="A17" s="22"/>
      <c r="B17" s="22"/>
      <c r="C17" s="22"/>
      <c r="D17" s="22"/>
      <c r="E17" s="22"/>
      <c r="F17" s="22"/>
    </row>
    <row r="18" spans="1:6">
      <c r="A18" s="18" t="s">
        <v>947</v>
      </c>
      <c r="B18" s="18" t="s">
        <v>948</v>
      </c>
      <c r="C18" s="18"/>
      <c r="D18" s="18" t="s">
        <v>949</v>
      </c>
      <c r="E18" s="18" t="s">
        <v>950</v>
      </c>
      <c r="F18" s="18" t="s">
        <v>951</v>
      </c>
    </row>
    <row r="19" spans="1:6" ht="27.6">
      <c r="A19" s="22" t="s">
        <v>952</v>
      </c>
      <c r="B19" s="23" t="s">
        <v>953</v>
      </c>
      <c r="C19" s="22"/>
      <c r="D19" s="22" t="s">
        <v>954</v>
      </c>
      <c r="E19" s="22" t="s">
        <v>955</v>
      </c>
      <c r="F19" s="22" t="s">
        <v>956</v>
      </c>
    </row>
    <row r="20" spans="1:6" ht="55.2">
      <c r="A20" s="22" t="s">
        <v>957</v>
      </c>
      <c r="B20" s="23" t="s">
        <v>958</v>
      </c>
      <c r="C20" s="22"/>
      <c r="D20" s="22" t="s">
        <v>959</v>
      </c>
      <c r="E20" s="22" t="s">
        <v>960</v>
      </c>
      <c r="F20" s="22" t="s">
        <v>961</v>
      </c>
    </row>
    <row r="21" spans="1:6" ht="55.2">
      <c r="A21" s="22" t="s">
        <v>962</v>
      </c>
      <c r="B21" s="23" t="s">
        <v>963</v>
      </c>
      <c r="C21" s="22"/>
      <c r="D21" s="22" t="s">
        <v>964</v>
      </c>
      <c r="E21" s="22" t="s">
        <v>965</v>
      </c>
      <c r="F21" s="22" t="s">
        <v>966</v>
      </c>
    </row>
    <row r="22" spans="1:6" ht="27.6">
      <c r="A22" s="22" t="s">
        <v>967</v>
      </c>
      <c r="B22" s="23" t="s">
        <v>968</v>
      </c>
      <c r="C22" s="22"/>
      <c r="D22" s="22" t="s">
        <v>969</v>
      </c>
      <c r="E22" s="22" t="s">
        <v>970</v>
      </c>
      <c r="F22" s="22" t="s">
        <v>971</v>
      </c>
    </row>
    <row r="23" spans="1:6" ht="27.6">
      <c r="A23" s="22" t="s">
        <v>972</v>
      </c>
      <c r="B23" s="23" t="s">
        <v>973</v>
      </c>
      <c r="C23" s="22"/>
      <c r="D23" s="22" t="s">
        <v>974</v>
      </c>
      <c r="E23" s="22" t="s">
        <v>975</v>
      </c>
      <c r="F23" s="22" t="s">
        <v>976</v>
      </c>
    </row>
    <row r="24" spans="1:6" ht="41.4">
      <c r="A24" s="22" t="s">
        <v>977</v>
      </c>
      <c r="B24" s="23" t="e">
        <f>'Ancillary Works - Reviewed'!#REF!</f>
        <v>#REF!</v>
      </c>
      <c r="C24" s="22"/>
      <c r="D24" s="22" t="s">
        <v>978</v>
      </c>
      <c r="E24" s="22" t="s">
        <v>979</v>
      </c>
      <c r="F24" s="22" t="s">
        <v>980</v>
      </c>
    </row>
    <row r="25" spans="1:6" ht="27.6">
      <c r="A25" s="22" t="s">
        <v>981</v>
      </c>
      <c r="B25" s="23" t="s">
        <v>982</v>
      </c>
      <c r="C25" s="22"/>
      <c r="D25" s="22" t="s">
        <v>983</v>
      </c>
      <c r="E25" s="22" t="s">
        <v>984</v>
      </c>
      <c r="F25" s="22" t="s">
        <v>985</v>
      </c>
    </row>
    <row r="26" spans="1:6" ht="41.4">
      <c r="A26" s="22" t="s">
        <v>986</v>
      </c>
      <c r="B26" s="23" t="s">
        <v>987</v>
      </c>
      <c r="C26" s="22"/>
      <c r="D26" s="22" t="s">
        <v>988</v>
      </c>
      <c r="E26" s="22" t="s">
        <v>989</v>
      </c>
      <c r="F26" s="22" t="s">
        <v>990</v>
      </c>
    </row>
    <row r="27" spans="1:6" ht="27.6">
      <c r="A27" s="22" t="s">
        <v>991</v>
      </c>
      <c r="B27" s="23" t="s">
        <v>992</v>
      </c>
      <c r="C27" s="22"/>
      <c r="D27" s="22" t="s">
        <v>993</v>
      </c>
      <c r="E27" s="22" t="s">
        <v>994</v>
      </c>
      <c r="F27" s="22" t="s">
        <v>995</v>
      </c>
    </row>
  </sheetData>
  <mergeCells count="2">
    <mergeCell ref="A1:F1"/>
    <mergeCell ref="A2:F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00"/>
  <sheetViews>
    <sheetView workbookViewId="0">
      <selection activeCell="C99" sqref="C99"/>
    </sheetView>
  </sheetViews>
  <sheetFormatPr defaultColWidth="8.69921875" defaultRowHeight="58.5" customHeight="1"/>
  <cols>
    <col min="1" max="1" width="8" style="8" customWidth="1"/>
    <col min="2" max="2" width="10" style="8" customWidth="1"/>
    <col min="3" max="3" width="58" style="81" customWidth="1"/>
    <col min="4" max="4" width="10" style="8" customWidth="1"/>
    <col min="5" max="5" width="12" style="8" customWidth="1"/>
    <col min="6" max="6" width="16" style="8" customWidth="1"/>
    <col min="7" max="7" width="18" style="8" customWidth="1"/>
    <col min="8" max="8" width="22" style="8" customWidth="1"/>
    <col min="9" max="9" width="16" style="8" customWidth="1"/>
    <col min="10" max="10" width="30" style="8" customWidth="1"/>
    <col min="11" max="11" width="46" style="8" customWidth="1"/>
    <col min="12" max="16384" width="8.69921875" style="8"/>
  </cols>
  <sheetData>
    <row r="1" spans="1:11" ht="58.5" customHeight="1">
      <c r="A1" s="85" t="s">
        <v>0</v>
      </c>
      <c r="B1" s="82"/>
      <c r="C1" s="82"/>
      <c r="D1" s="82"/>
      <c r="E1" s="82"/>
      <c r="F1" s="82"/>
      <c r="G1" s="82"/>
      <c r="H1" s="82"/>
      <c r="I1" s="82"/>
      <c r="J1" s="82"/>
      <c r="K1" s="82"/>
    </row>
    <row r="2" spans="1:11" ht="58.5" customHeight="1">
      <c r="A2" s="102" t="s">
        <v>1</v>
      </c>
      <c r="B2" s="102"/>
      <c r="C2" s="102"/>
      <c r="D2" s="102"/>
      <c r="E2" s="102"/>
      <c r="F2" s="102"/>
      <c r="G2" s="102"/>
      <c r="I2" s="54" t="s">
        <v>2</v>
      </c>
      <c r="J2" s="83">
        <v>0.1</v>
      </c>
    </row>
    <row r="3" spans="1:11" ht="58.5" customHeight="1">
      <c r="A3" s="84" t="s">
        <v>5</v>
      </c>
      <c r="B3" s="84" t="s">
        <v>6</v>
      </c>
      <c r="C3" s="60" t="s">
        <v>7</v>
      </c>
      <c r="D3" s="84" t="s">
        <v>8</v>
      </c>
      <c r="E3" s="84" t="s">
        <v>9</v>
      </c>
      <c r="F3" s="84" t="s">
        <v>10</v>
      </c>
      <c r="G3" s="84" t="s">
        <v>11</v>
      </c>
      <c r="H3" s="84" t="s">
        <v>12</v>
      </c>
      <c r="I3" s="84" t="s">
        <v>13</v>
      </c>
      <c r="J3" s="84" t="s">
        <v>14</v>
      </c>
      <c r="K3" s="84" t="s">
        <v>15</v>
      </c>
    </row>
    <row r="4" spans="1:11" ht="58.5" customHeight="1">
      <c r="A4" s="55" t="s">
        <v>16</v>
      </c>
      <c r="B4" s="55"/>
      <c r="C4" s="55"/>
      <c r="D4" s="55"/>
      <c r="E4" s="55"/>
      <c r="F4" s="55"/>
      <c r="G4" s="55"/>
      <c r="H4" s="55"/>
      <c r="I4" s="55"/>
      <c r="J4" s="55"/>
      <c r="K4" s="55"/>
    </row>
    <row r="5" spans="1:11" ht="58.5" customHeight="1">
      <c r="A5" s="6" t="s">
        <v>17</v>
      </c>
      <c r="B5" s="6" t="s">
        <v>18</v>
      </c>
      <c r="C5" s="56" t="s">
        <v>19</v>
      </c>
      <c r="D5" s="6" t="s">
        <v>20</v>
      </c>
      <c r="E5" s="57">
        <v>1</v>
      </c>
      <c r="F5" s="58">
        <v>150000</v>
      </c>
      <c r="G5" s="58">
        <f t="shared" ref="G5:G12" si="0">E5*F5</f>
        <v>150000</v>
      </c>
      <c r="H5" s="6" t="s">
        <v>21</v>
      </c>
      <c r="I5" s="6" t="s">
        <v>22</v>
      </c>
      <c r="J5" s="6" t="s">
        <v>23</v>
      </c>
      <c r="K5" s="6" t="s">
        <v>24</v>
      </c>
    </row>
    <row r="6" spans="1:11" ht="58.5" customHeight="1">
      <c r="A6" s="6" t="s">
        <v>17</v>
      </c>
      <c r="B6" s="6" t="s">
        <v>25</v>
      </c>
      <c r="C6" s="56" t="s">
        <v>26</v>
      </c>
      <c r="D6" s="6" t="s">
        <v>20</v>
      </c>
      <c r="E6" s="57">
        <v>1</v>
      </c>
      <c r="F6" s="58">
        <v>500000</v>
      </c>
      <c r="G6" s="58">
        <f t="shared" si="0"/>
        <v>500000</v>
      </c>
      <c r="H6" s="6" t="s">
        <v>21</v>
      </c>
      <c r="I6" s="6" t="s">
        <v>27</v>
      </c>
      <c r="J6" s="6" t="s">
        <v>28</v>
      </c>
      <c r="K6" s="6" t="s">
        <v>29</v>
      </c>
    </row>
    <row r="7" spans="1:11" ht="58.5" customHeight="1">
      <c r="A7" s="6" t="s">
        <v>17</v>
      </c>
      <c r="B7" s="6" t="s">
        <v>30</v>
      </c>
      <c r="C7" s="56" t="s">
        <v>31</v>
      </c>
      <c r="D7" s="6" t="s">
        <v>20</v>
      </c>
      <c r="E7" s="57">
        <v>1</v>
      </c>
      <c r="F7" s="58">
        <v>50000</v>
      </c>
      <c r="G7" s="58">
        <f t="shared" si="0"/>
        <v>50000</v>
      </c>
      <c r="H7" s="6" t="s">
        <v>21</v>
      </c>
      <c r="I7" s="6" t="s">
        <v>32</v>
      </c>
      <c r="J7" s="6" t="s">
        <v>33</v>
      </c>
      <c r="K7" s="6" t="s">
        <v>34</v>
      </c>
    </row>
    <row r="8" spans="1:11" ht="58.5" customHeight="1">
      <c r="A8" s="6" t="s">
        <v>17</v>
      </c>
      <c r="B8" s="6" t="s">
        <v>35</v>
      </c>
      <c r="C8" s="56" t="s">
        <v>36</v>
      </c>
      <c r="D8" s="6" t="s">
        <v>20</v>
      </c>
      <c r="E8" s="57">
        <v>1</v>
      </c>
      <c r="F8" s="58">
        <v>450000</v>
      </c>
      <c r="G8" s="58">
        <f t="shared" si="0"/>
        <v>450000</v>
      </c>
      <c r="H8" s="6" t="s">
        <v>21</v>
      </c>
      <c r="I8" s="6" t="s">
        <v>37</v>
      </c>
      <c r="J8" s="6" t="s">
        <v>38</v>
      </c>
      <c r="K8" s="6" t="s">
        <v>39</v>
      </c>
    </row>
    <row r="9" spans="1:11" ht="58.5" customHeight="1">
      <c r="A9" s="6" t="s">
        <v>17</v>
      </c>
      <c r="B9" s="6" t="s">
        <v>40</v>
      </c>
      <c r="C9" s="56" t="s">
        <v>41</v>
      </c>
      <c r="D9" s="6" t="s">
        <v>20</v>
      </c>
      <c r="E9" s="57">
        <v>1</v>
      </c>
      <c r="F9" s="58">
        <v>600000</v>
      </c>
      <c r="G9" s="58">
        <f t="shared" si="0"/>
        <v>600000</v>
      </c>
      <c r="H9" s="6" t="s">
        <v>21</v>
      </c>
      <c r="I9" s="6" t="s">
        <v>42</v>
      </c>
      <c r="J9" s="6" t="s">
        <v>28</v>
      </c>
      <c r="K9" s="6" t="s">
        <v>43</v>
      </c>
    </row>
    <row r="10" spans="1:11" ht="58.5" customHeight="1">
      <c r="A10" s="6" t="s">
        <v>17</v>
      </c>
      <c r="B10" s="6" t="s">
        <v>44</v>
      </c>
      <c r="C10" s="56" t="s">
        <v>45</v>
      </c>
      <c r="D10" s="6" t="s">
        <v>46</v>
      </c>
      <c r="E10" s="57">
        <v>220</v>
      </c>
      <c r="F10" s="58">
        <v>1500</v>
      </c>
      <c r="G10" s="58">
        <f t="shared" si="0"/>
        <v>330000</v>
      </c>
      <c r="H10" s="6" t="s">
        <v>21</v>
      </c>
      <c r="I10" s="6" t="s">
        <v>47</v>
      </c>
      <c r="J10" s="6" t="s">
        <v>48</v>
      </c>
      <c r="K10" s="6" t="s">
        <v>49</v>
      </c>
    </row>
    <row r="11" spans="1:11" ht="58.5" customHeight="1">
      <c r="A11" s="6" t="s">
        <v>17</v>
      </c>
      <c r="B11" s="6" t="s">
        <v>50</v>
      </c>
      <c r="C11" s="56" t="s">
        <v>51</v>
      </c>
      <c r="D11" s="6" t="s">
        <v>20</v>
      </c>
      <c r="E11" s="57">
        <v>1</v>
      </c>
      <c r="F11" s="58">
        <v>500000</v>
      </c>
      <c r="G11" s="58">
        <f t="shared" si="0"/>
        <v>500000</v>
      </c>
      <c r="H11" s="6" t="s">
        <v>21</v>
      </c>
      <c r="I11" s="6" t="s">
        <v>52</v>
      </c>
      <c r="J11" s="6" t="s">
        <v>53</v>
      </c>
      <c r="K11" s="6" t="s">
        <v>54</v>
      </c>
    </row>
    <row r="12" spans="1:11" ht="58.5" customHeight="1">
      <c r="A12" s="6" t="s">
        <v>17</v>
      </c>
      <c r="B12" s="6" t="s">
        <v>55</v>
      </c>
      <c r="C12" s="56" t="s">
        <v>56</v>
      </c>
      <c r="D12" s="6" t="s">
        <v>20</v>
      </c>
      <c r="E12" s="57">
        <v>1</v>
      </c>
      <c r="F12" s="58">
        <v>400000</v>
      </c>
      <c r="G12" s="58">
        <f t="shared" si="0"/>
        <v>400000</v>
      </c>
      <c r="H12" s="6" t="s">
        <v>21</v>
      </c>
      <c r="I12" s="6" t="s">
        <v>57</v>
      </c>
      <c r="J12" s="6" t="s">
        <v>58</v>
      </c>
      <c r="K12" s="6" t="s">
        <v>59</v>
      </c>
    </row>
    <row r="13" spans="1:11" ht="58.5" customHeight="1">
      <c r="A13" s="99" t="s">
        <v>60</v>
      </c>
      <c r="B13" s="99"/>
      <c r="C13" s="99"/>
      <c r="D13" s="99"/>
      <c r="E13" s="100"/>
      <c r="F13" s="101"/>
      <c r="G13" s="59">
        <f>SUM(G5:G12)</f>
        <v>2980000</v>
      </c>
      <c r="H13" s="9"/>
      <c r="I13" s="9"/>
      <c r="J13" s="9"/>
      <c r="K13" s="9"/>
    </row>
    <row r="14" spans="1:11" ht="58.5" customHeight="1">
      <c r="A14" s="55" t="s">
        <v>61</v>
      </c>
      <c r="B14" s="55"/>
      <c r="C14" s="55"/>
      <c r="D14" s="55"/>
      <c r="E14" s="62"/>
      <c r="F14" s="63"/>
      <c r="G14" s="63"/>
      <c r="H14" s="55"/>
      <c r="I14" s="55"/>
      <c r="J14" s="55"/>
      <c r="K14" s="55"/>
    </row>
    <row r="15" spans="1:11" ht="58.5" customHeight="1">
      <c r="A15" s="6" t="s">
        <v>62</v>
      </c>
      <c r="B15" s="6" t="s">
        <v>63</v>
      </c>
      <c r="C15" s="56" t="s">
        <v>64</v>
      </c>
      <c r="D15" s="6" t="s">
        <v>46</v>
      </c>
      <c r="E15" s="57">
        <v>220</v>
      </c>
      <c r="F15" s="58">
        <v>405</v>
      </c>
      <c r="G15" s="58">
        <f t="shared" ref="G15:G28" si="1">E15*F15</f>
        <v>89100</v>
      </c>
      <c r="H15" s="6" t="s">
        <v>65</v>
      </c>
      <c r="I15" s="6" t="s">
        <v>66</v>
      </c>
      <c r="J15" s="6" t="s">
        <v>67</v>
      </c>
      <c r="K15" s="6" t="s">
        <v>68</v>
      </c>
    </row>
    <row r="16" spans="1:11" ht="58.5" customHeight="1">
      <c r="A16" s="6" t="s">
        <v>62</v>
      </c>
      <c r="B16" s="6" t="s">
        <v>69</v>
      </c>
      <c r="C16" s="56" t="s">
        <v>70</v>
      </c>
      <c r="D16" s="6" t="s">
        <v>46</v>
      </c>
      <c r="E16" s="57">
        <v>70</v>
      </c>
      <c r="F16" s="58">
        <v>369</v>
      </c>
      <c r="G16" s="58">
        <f t="shared" si="1"/>
        <v>25830</v>
      </c>
      <c r="H16" s="6" t="s">
        <v>71</v>
      </c>
      <c r="I16" s="6" t="s">
        <v>72</v>
      </c>
      <c r="J16" s="6" t="s">
        <v>73</v>
      </c>
      <c r="K16" s="6" t="s">
        <v>74</v>
      </c>
    </row>
    <row r="17" spans="1:11" ht="58.5" customHeight="1">
      <c r="A17" s="6"/>
      <c r="B17" s="6" t="s">
        <v>75</v>
      </c>
      <c r="C17" s="56" t="s">
        <v>76</v>
      </c>
      <c r="D17" s="6" t="s">
        <v>77</v>
      </c>
      <c r="E17" s="57">
        <v>60</v>
      </c>
      <c r="F17" s="58">
        <f>1000</f>
        <v>1000</v>
      </c>
      <c r="G17" s="58">
        <f t="shared" si="1"/>
        <v>60000</v>
      </c>
      <c r="H17" s="6"/>
      <c r="I17" s="6"/>
      <c r="J17" s="6"/>
      <c r="K17" s="6"/>
    </row>
    <row r="18" spans="1:11" ht="58.5" customHeight="1">
      <c r="A18" s="6" t="s">
        <v>62</v>
      </c>
      <c r="B18" s="6" t="s">
        <v>78</v>
      </c>
      <c r="C18" s="56" t="s">
        <v>79</v>
      </c>
      <c r="D18" s="6" t="s">
        <v>80</v>
      </c>
      <c r="E18" s="57">
        <v>70</v>
      </c>
      <c r="F18" s="58">
        <v>2000</v>
      </c>
      <c r="G18" s="58">
        <f t="shared" si="1"/>
        <v>140000</v>
      </c>
      <c r="H18" s="6" t="s">
        <v>71</v>
      </c>
      <c r="I18" s="6" t="s">
        <v>81</v>
      </c>
      <c r="J18" s="6" t="s">
        <v>82</v>
      </c>
      <c r="K18" s="6" t="s">
        <v>83</v>
      </c>
    </row>
    <row r="19" spans="1:11" ht="58.5" customHeight="1">
      <c r="A19" s="6" t="s">
        <v>62</v>
      </c>
      <c r="B19" s="6" t="s">
        <v>84</v>
      </c>
      <c r="C19" s="56" t="s">
        <v>85</v>
      </c>
      <c r="D19" s="6" t="s">
        <v>80</v>
      </c>
      <c r="E19" s="57">
        <v>10</v>
      </c>
      <c r="F19" s="58">
        <v>2000</v>
      </c>
      <c r="G19" s="58">
        <f t="shared" si="1"/>
        <v>20000</v>
      </c>
      <c r="H19" s="6" t="s">
        <v>71</v>
      </c>
      <c r="I19" s="6" t="s">
        <v>81</v>
      </c>
      <c r="J19" s="6" t="s">
        <v>86</v>
      </c>
      <c r="K19" s="6" t="s">
        <v>87</v>
      </c>
    </row>
    <row r="20" spans="1:11" ht="58.5" customHeight="1">
      <c r="A20" s="6" t="s">
        <v>62</v>
      </c>
      <c r="B20" s="6" t="s">
        <v>88</v>
      </c>
      <c r="C20" s="56" t="s">
        <v>89</v>
      </c>
      <c r="D20" s="6" t="s">
        <v>46</v>
      </c>
      <c r="E20" s="57">
        <v>800</v>
      </c>
      <c r="F20" s="58">
        <v>770</v>
      </c>
      <c r="G20" s="58">
        <f t="shared" si="1"/>
        <v>616000</v>
      </c>
      <c r="H20" s="6" t="s">
        <v>65</v>
      </c>
      <c r="I20" s="6" t="s">
        <v>90</v>
      </c>
      <c r="J20" s="6" t="s">
        <v>91</v>
      </c>
      <c r="K20" s="6" t="s">
        <v>92</v>
      </c>
    </row>
    <row r="21" spans="1:11" ht="58.5" customHeight="1">
      <c r="A21" s="6"/>
      <c r="B21" s="6" t="s">
        <v>95</v>
      </c>
      <c r="C21" s="56" t="s">
        <v>93</v>
      </c>
      <c r="D21" s="6" t="s">
        <v>94</v>
      </c>
      <c r="E21" s="57">
        <v>2</v>
      </c>
      <c r="F21" s="58">
        <v>30000</v>
      </c>
      <c r="G21" s="58">
        <f t="shared" si="1"/>
        <v>60000</v>
      </c>
      <c r="H21" s="6" t="s">
        <v>21</v>
      </c>
      <c r="I21" s="6"/>
      <c r="J21" s="6"/>
      <c r="K21" s="6"/>
    </row>
    <row r="22" spans="1:11" ht="58.5" customHeight="1">
      <c r="A22" s="6" t="s">
        <v>62</v>
      </c>
      <c r="B22" s="6" t="s">
        <v>101</v>
      </c>
      <c r="C22" s="60" t="s">
        <v>96</v>
      </c>
      <c r="D22" s="6" t="s">
        <v>46</v>
      </c>
      <c r="E22" s="57">
        <v>45</v>
      </c>
      <c r="F22" s="58">
        <v>650</v>
      </c>
      <c r="G22" s="58">
        <f t="shared" si="1"/>
        <v>29250</v>
      </c>
      <c r="H22" s="6" t="s">
        <v>97</v>
      </c>
      <c r="I22" s="6" t="s">
        <v>98</v>
      </c>
      <c r="J22" s="6" t="s">
        <v>99</v>
      </c>
      <c r="K22" s="6" t="s">
        <v>100</v>
      </c>
    </row>
    <row r="23" spans="1:11" ht="58.5" customHeight="1">
      <c r="A23" s="6"/>
      <c r="B23" s="6" t="s">
        <v>104</v>
      </c>
      <c r="C23" s="60" t="s">
        <v>102</v>
      </c>
      <c r="D23" s="6" t="s">
        <v>103</v>
      </c>
      <c r="E23" s="57">
        <v>50</v>
      </c>
      <c r="F23" s="58">
        <v>690</v>
      </c>
      <c r="G23" s="58">
        <f t="shared" si="1"/>
        <v>34500</v>
      </c>
      <c r="H23" s="6"/>
      <c r="I23" s="6"/>
      <c r="J23" s="6"/>
      <c r="K23" s="6"/>
    </row>
    <row r="24" spans="1:11" ht="58.5" customHeight="1">
      <c r="A24" s="6" t="s">
        <v>62</v>
      </c>
      <c r="B24" s="6" t="s">
        <v>109</v>
      </c>
      <c r="C24" s="56" t="s">
        <v>105</v>
      </c>
      <c r="D24" s="6" t="s">
        <v>46</v>
      </c>
      <c r="E24" s="57">
        <v>200</v>
      </c>
      <c r="F24" s="58">
        <v>650</v>
      </c>
      <c r="G24" s="58">
        <f t="shared" si="1"/>
        <v>130000</v>
      </c>
      <c r="H24" s="6" t="s">
        <v>21</v>
      </c>
      <c r="I24" s="6" t="s">
        <v>106</v>
      </c>
      <c r="J24" s="6" t="s">
        <v>107</v>
      </c>
      <c r="K24" s="6" t="s">
        <v>108</v>
      </c>
    </row>
    <row r="25" spans="1:11" ht="58.5" customHeight="1">
      <c r="A25" s="6" t="s">
        <v>62</v>
      </c>
      <c r="B25" s="6" t="s">
        <v>115</v>
      </c>
      <c r="C25" s="56" t="s">
        <v>110</v>
      </c>
      <c r="D25" s="6" t="s">
        <v>111</v>
      </c>
      <c r="E25" s="57">
        <v>15</v>
      </c>
      <c r="F25" s="61">
        <v>6500</v>
      </c>
      <c r="G25" s="58">
        <f t="shared" si="1"/>
        <v>97500</v>
      </c>
      <c r="H25" s="6" t="s">
        <v>21</v>
      </c>
      <c r="I25" s="6" t="s">
        <v>112</v>
      </c>
      <c r="J25" s="6" t="s">
        <v>113</v>
      </c>
      <c r="K25" s="6" t="s">
        <v>114</v>
      </c>
    </row>
    <row r="26" spans="1:11" ht="58.5" customHeight="1">
      <c r="A26" s="6"/>
      <c r="B26" s="6" t="s">
        <v>117</v>
      </c>
      <c r="C26" s="56" t="s">
        <v>116</v>
      </c>
      <c r="D26" s="6" t="s">
        <v>94</v>
      </c>
      <c r="E26" s="57">
        <v>20</v>
      </c>
      <c r="F26" s="61">
        <v>22344</v>
      </c>
      <c r="G26" s="58">
        <f t="shared" si="1"/>
        <v>446880</v>
      </c>
      <c r="H26" s="6"/>
      <c r="I26" s="6"/>
      <c r="J26" s="6"/>
      <c r="K26" s="6"/>
    </row>
    <row r="27" spans="1:11" ht="58.5" customHeight="1">
      <c r="A27" s="6"/>
      <c r="B27" s="6" t="s">
        <v>119</v>
      </c>
      <c r="C27" s="56" t="s">
        <v>118</v>
      </c>
      <c r="D27" s="6" t="s">
        <v>94</v>
      </c>
      <c r="E27" s="57">
        <v>40</v>
      </c>
      <c r="F27" s="61">
        <v>10209</v>
      </c>
      <c r="G27" s="58">
        <f t="shared" si="1"/>
        <v>408360</v>
      </c>
      <c r="H27" s="6"/>
      <c r="I27" s="6"/>
      <c r="J27" s="6"/>
      <c r="K27" s="6"/>
    </row>
    <row r="28" spans="1:11" ht="58.5" customHeight="1">
      <c r="A28" s="6" t="s">
        <v>62</v>
      </c>
      <c r="B28" s="6" t="s">
        <v>2488</v>
      </c>
      <c r="C28" s="56" t="s">
        <v>120</v>
      </c>
      <c r="D28" s="6" t="s">
        <v>121</v>
      </c>
      <c r="E28" s="57">
        <v>45</v>
      </c>
      <c r="F28" s="58">
        <v>4207</v>
      </c>
      <c r="G28" s="58">
        <f t="shared" si="1"/>
        <v>189315</v>
      </c>
      <c r="H28" s="6" t="s">
        <v>122</v>
      </c>
      <c r="I28" s="6" t="s">
        <v>123</v>
      </c>
      <c r="J28" s="6" t="s">
        <v>124</v>
      </c>
      <c r="K28" s="6" t="s">
        <v>125</v>
      </c>
    </row>
    <row r="29" spans="1:11" ht="58.5" customHeight="1">
      <c r="A29" s="99" t="s">
        <v>126</v>
      </c>
      <c r="B29" s="99"/>
      <c r="C29" s="99"/>
      <c r="D29" s="99"/>
      <c r="E29" s="100"/>
      <c r="F29" s="101"/>
      <c r="G29" s="59">
        <f>SUM(G15:G28)</f>
        <v>2346735</v>
      </c>
      <c r="H29" s="9"/>
      <c r="I29" s="9"/>
      <c r="J29" s="9"/>
      <c r="K29" s="9"/>
    </row>
    <row r="30" spans="1:11" ht="58.5" customHeight="1">
      <c r="A30" s="55" t="s">
        <v>127</v>
      </c>
      <c r="B30" s="55"/>
      <c r="C30" s="55"/>
      <c r="D30" s="55"/>
      <c r="E30" s="62"/>
      <c r="F30" s="63"/>
      <c r="G30" s="63"/>
      <c r="H30" s="55"/>
      <c r="I30" s="55"/>
      <c r="J30" s="55"/>
      <c r="K30" s="55"/>
    </row>
    <row r="31" spans="1:11" ht="58.5" customHeight="1">
      <c r="A31" s="6" t="s">
        <v>128</v>
      </c>
      <c r="B31" s="6" t="s">
        <v>129</v>
      </c>
      <c r="C31" s="56" t="s">
        <v>130</v>
      </c>
      <c r="D31" s="6" t="s">
        <v>77</v>
      </c>
      <c r="E31" s="57">
        <v>75</v>
      </c>
      <c r="F31" s="58">
        <v>5000</v>
      </c>
      <c r="G31" s="58">
        <f t="shared" ref="G31:G42" si="2">E31*F31</f>
        <v>375000</v>
      </c>
      <c r="H31" s="6" t="s">
        <v>21</v>
      </c>
      <c r="I31" s="6" t="s">
        <v>131</v>
      </c>
      <c r="J31" s="6" t="s">
        <v>132</v>
      </c>
      <c r="K31" s="6" t="s">
        <v>133</v>
      </c>
    </row>
    <row r="32" spans="1:11" ht="58.5" customHeight="1">
      <c r="A32" s="6" t="s">
        <v>128</v>
      </c>
      <c r="B32" s="6" t="s">
        <v>134</v>
      </c>
      <c r="C32" s="56" t="s">
        <v>135</v>
      </c>
      <c r="D32" s="6" t="s">
        <v>80</v>
      </c>
      <c r="E32" s="57">
        <v>12</v>
      </c>
      <c r="F32" s="58">
        <v>32300</v>
      </c>
      <c r="G32" s="58">
        <f t="shared" si="2"/>
        <v>387600</v>
      </c>
      <c r="H32" s="6" t="s">
        <v>65</v>
      </c>
      <c r="I32" s="6" t="s">
        <v>136</v>
      </c>
      <c r="J32" s="6" t="s">
        <v>137</v>
      </c>
      <c r="K32" s="6" t="s">
        <v>138</v>
      </c>
    </row>
    <row r="33" spans="1:11" ht="58.5" customHeight="1">
      <c r="A33" s="6"/>
      <c r="B33" s="6" t="s">
        <v>139</v>
      </c>
      <c r="C33" s="56" t="s">
        <v>140</v>
      </c>
      <c r="D33" s="6" t="s">
        <v>80</v>
      </c>
      <c r="E33" s="57">
        <v>3</v>
      </c>
      <c r="F33" s="58">
        <v>34300</v>
      </c>
      <c r="G33" s="58">
        <f t="shared" si="2"/>
        <v>102900</v>
      </c>
      <c r="H33" s="6"/>
      <c r="I33" s="6"/>
      <c r="J33" s="6"/>
      <c r="K33" s="6"/>
    </row>
    <row r="34" spans="1:11" ht="58.5" customHeight="1">
      <c r="A34" s="6" t="s">
        <v>128</v>
      </c>
      <c r="B34" s="6" t="s">
        <v>141</v>
      </c>
      <c r="C34" s="56" t="s">
        <v>142</v>
      </c>
      <c r="D34" s="6" t="s">
        <v>143</v>
      </c>
      <c r="E34" s="57">
        <v>1500</v>
      </c>
      <c r="F34" s="58">
        <v>494</v>
      </c>
      <c r="G34" s="58">
        <f t="shared" si="2"/>
        <v>741000</v>
      </c>
      <c r="H34" s="6" t="s">
        <v>71</v>
      </c>
      <c r="I34" s="6" t="s">
        <v>144</v>
      </c>
      <c r="J34" s="6" t="s">
        <v>145</v>
      </c>
      <c r="K34" s="6" t="s">
        <v>146</v>
      </c>
    </row>
    <row r="35" spans="1:11" ht="58.5" customHeight="1">
      <c r="A35" s="6" t="s">
        <v>128</v>
      </c>
      <c r="B35" s="6" t="s">
        <v>147</v>
      </c>
      <c r="C35" s="56" t="s">
        <v>148</v>
      </c>
      <c r="D35" s="6" t="s">
        <v>46</v>
      </c>
      <c r="E35" s="57">
        <v>50</v>
      </c>
      <c r="F35" s="58">
        <v>4070</v>
      </c>
      <c r="G35" s="58">
        <f t="shared" si="2"/>
        <v>203500</v>
      </c>
      <c r="H35" s="6" t="s">
        <v>71</v>
      </c>
      <c r="I35" s="6" t="s">
        <v>149</v>
      </c>
      <c r="J35" s="6" t="s">
        <v>145</v>
      </c>
      <c r="K35" s="6" t="s">
        <v>150</v>
      </c>
    </row>
    <row r="36" spans="1:11" ht="58.5" customHeight="1">
      <c r="A36" s="6" t="s">
        <v>128</v>
      </c>
      <c r="B36" s="6" t="s">
        <v>156</v>
      </c>
      <c r="C36" s="56" t="s">
        <v>151</v>
      </c>
      <c r="D36" s="6" t="s">
        <v>103</v>
      </c>
      <c r="E36" s="57">
        <v>45</v>
      </c>
      <c r="F36" s="58">
        <v>5650</v>
      </c>
      <c r="G36" s="58">
        <f t="shared" si="2"/>
        <v>254250</v>
      </c>
      <c r="H36" s="6" t="s">
        <v>152</v>
      </c>
      <c r="I36" s="6" t="s">
        <v>153</v>
      </c>
      <c r="J36" s="6" t="s">
        <v>154</v>
      </c>
      <c r="K36" s="6" t="s">
        <v>155</v>
      </c>
    </row>
    <row r="37" spans="1:11" ht="58.5" customHeight="1">
      <c r="A37" s="6" t="s">
        <v>128</v>
      </c>
      <c r="B37" s="6" t="s">
        <v>160</v>
      </c>
      <c r="C37" s="56" t="s">
        <v>157</v>
      </c>
      <c r="D37" s="6" t="s">
        <v>103</v>
      </c>
      <c r="E37" s="57">
        <v>12</v>
      </c>
      <c r="F37" s="58">
        <v>3800</v>
      </c>
      <c r="G37" s="58">
        <f t="shared" si="2"/>
        <v>45600</v>
      </c>
      <c r="H37" s="6" t="s">
        <v>152</v>
      </c>
      <c r="I37" s="6" t="s">
        <v>158</v>
      </c>
      <c r="J37" s="6" t="s">
        <v>154</v>
      </c>
      <c r="K37" s="6" t="s">
        <v>155</v>
      </c>
    </row>
    <row r="38" spans="1:11" ht="58.5" customHeight="1">
      <c r="A38" s="6" t="s">
        <v>128</v>
      </c>
      <c r="B38" s="6" t="s">
        <v>165</v>
      </c>
      <c r="C38" s="56" t="s">
        <v>159</v>
      </c>
      <c r="D38" s="6" t="s">
        <v>103</v>
      </c>
      <c r="E38" s="57">
        <v>14</v>
      </c>
      <c r="F38" s="58">
        <f>F37/225*150</f>
        <v>2533.3333333333335</v>
      </c>
      <c r="G38" s="58">
        <f t="shared" ref="G38" si="3">E38*F38</f>
        <v>35466.666666666672</v>
      </c>
      <c r="H38" s="6" t="s">
        <v>152</v>
      </c>
      <c r="I38" s="6" t="s">
        <v>158</v>
      </c>
      <c r="J38" s="6" t="s">
        <v>154</v>
      </c>
      <c r="K38" s="6" t="s">
        <v>155</v>
      </c>
    </row>
    <row r="39" spans="1:11" ht="58.5" customHeight="1">
      <c r="A39" s="6" t="s">
        <v>128</v>
      </c>
      <c r="B39" s="6" t="s">
        <v>170</v>
      </c>
      <c r="C39" s="56" t="s">
        <v>161</v>
      </c>
      <c r="D39" s="6" t="s">
        <v>20</v>
      </c>
      <c r="E39" s="57">
        <v>1</v>
      </c>
      <c r="F39" s="58">
        <v>1500000</v>
      </c>
      <c r="G39" s="58">
        <f t="shared" si="2"/>
        <v>1500000</v>
      </c>
      <c r="H39" s="6" t="s">
        <v>21</v>
      </c>
      <c r="I39" s="6" t="s">
        <v>162</v>
      </c>
      <c r="J39" s="6" t="s">
        <v>163</v>
      </c>
      <c r="K39" s="6" t="s">
        <v>164</v>
      </c>
    </row>
    <row r="40" spans="1:11" ht="58.5" customHeight="1">
      <c r="A40" s="6" t="s">
        <v>128</v>
      </c>
      <c r="B40" s="6" t="s">
        <v>175</v>
      </c>
      <c r="C40" s="56" t="s">
        <v>166</v>
      </c>
      <c r="D40" s="6" t="s">
        <v>20</v>
      </c>
      <c r="E40" s="57">
        <v>1</v>
      </c>
      <c r="F40" s="58">
        <v>600000</v>
      </c>
      <c r="G40" s="58">
        <f t="shared" si="2"/>
        <v>600000</v>
      </c>
      <c r="H40" s="6" t="s">
        <v>21</v>
      </c>
      <c r="I40" s="6" t="s">
        <v>167</v>
      </c>
      <c r="J40" s="6" t="s">
        <v>168</v>
      </c>
      <c r="K40" s="6" t="s">
        <v>169</v>
      </c>
    </row>
    <row r="41" spans="1:11" ht="58.5" customHeight="1">
      <c r="A41" s="6" t="s">
        <v>128</v>
      </c>
      <c r="B41" s="6" t="s">
        <v>2471</v>
      </c>
      <c r="C41" s="56" t="s">
        <v>171</v>
      </c>
      <c r="D41" s="6" t="s">
        <v>20</v>
      </c>
      <c r="E41" s="57">
        <v>1</v>
      </c>
      <c r="F41" s="58">
        <v>800000</v>
      </c>
      <c r="G41" s="58">
        <f t="shared" si="2"/>
        <v>800000</v>
      </c>
      <c r="H41" s="6" t="s">
        <v>21</v>
      </c>
      <c r="I41" s="6" t="s">
        <v>172</v>
      </c>
      <c r="J41" s="6" t="s">
        <v>173</v>
      </c>
      <c r="K41" s="6" t="s">
        <v>174</v>
      </c>
    </row>
    <row r="42" spans="1:11" ht="58.5" customHeight="1">
      <c r="A42" s="6" t="s">
        <v>128</v>
      </c>
      <c r="B42" s="6" t="s">
        <v>2472</v>
      </c>
      <c r="C42" s="56" t="s">
        <v>176</v>
      </c>
      <c r="D42" s="6" t="s">
        <v>20</v>
      </c>
      <c r="E42" s="57">
        <v>1</v>
      </c>
      <c r="F42" s="58">
        <v>750000</v>
      </c>
      <c r="G42" s="58">
        <f t="shared" si="2"/>
        <v>750000</v>
      </c>
      <c r="H42" s="6" t="s">
        <v>21</v>
      </c>
      <c r="I42" s="6" t="s">
        <v>177</v>
      </c>
      <c r="J42" s="6" t="s">
        <v>178</v>
      </c>
      <c r="K42" s="6" t="s">
        <v>179</v>
      </c>
    </row>
    <row r="43" spans="1:11" ht="58.5" customHeight="1">
      <c r="A43" s="99" t="s">
        <v>180</v>
      </c>
      <c r="B43" s="99"/>
      <c r="C43" s="99"/>
      <c r="D43" s="99"/>
      <c r="E43" s="100"/>
      <c r="F43" s="101"/>
      <c r="G43" s="59">
        <f>SUM(G31:G42)</f>
        <v>5795316.666666666</v>
      </c>
      <c r="H43" s="9"/>
      <c r="I43" s="9"/>
      <c r="J43" s="9"/>
      <c r="K43" s="9"/>
    </row>
    <row r="44" spans="1:11" ht="58.5" customHeight="1">
      <c r="A44" s="55" t="s">
        <v>181</v>
      </c>
      <c r="B44" s="55"/>
      <c r="C44" s="55"/>
      <c r="D44" s="55"/>
      <c r="E44" s="62"/>
      <c r="F44" s="63"/>
      <c r="G44" s="63"/>
      <c r="H44" s="55"/>
      <c r="I44" s="55"/>
      <c r="J44" s="55"/>
      <c r="K44" s="55"/>
    </row>
    <row r="45" spans="1:11" ht="58.5" customHeight="1">
      <c r="A45" s="6" t="s">
        <v>182</v>
      </c>
      <c r="B45" s="6" t="s">
        <v>183</v>
      </c>
      <c r="C45" s="56" t="s">
        <v>184</v>
      </c>
      <c r="D45" s="6" t="s">
        <v>46</v>
      </c>
      <c r="E45" s="57">
        <v>100</v>
      </c>
      <c r="F45" s="58">
        <v>4190</v>
      </c>
      <c r="G45" s="58">
        <f t="shared" ref="G45:G50" si="4">E45*F45</f>
        <v>419000</v>
      </c>
      <c r="H45" s="6" t="s">
        <v>65</v>
      </c>
      <c r="I45" s="6" t="s">
        <v>185</v>
      </c>
      <c r="J45" s="6" t="s">
        <v>186</v>
      </c>
      <c r="K45" s="6" t="s">
        <v>187</v>
      </c>
    </row>
    <row r="46" spans="1:11" ht="58.5" customHeight="1">
      <c r="A46" s="6" t="s">
        <v>182</v>
      </c>
      <c r="B46" s="6" t="s">
        <v>188</v>
      </c>
      <c r="C46" s="56" t="s">
        <v>189</v>
      </c>
      <c r="D46" s="6" t="s">
        <v>46</v>
      </c>
      <c r="E46" s="57">
        <v>550</v>
      </c>
      <c r="F46" s="58">
        <v>5890</v>
      </c>
      <c r="G46" s="58">
        <f t="shared" si="4"/>
        <v>3239500</v>
      </c>
      <c r="H46" s="6" t="s">
        <v>190</v>
      </c>
      <c r="I46" s="6" t="s">
        <v>191</v>
      </c>
      <c r="J46" s="6" t="s">
        <v>186</v>
      </c>
      <c r="K46" s="6" t="s">
        <v>192</v>
      </c>
    </row>
    <row r="47" spans="1:11" ht="58.5" customHeight="1">
      <c r="A47" s="6" t="s">
        <v>182</v>
      </c>
      <c r="B47" s="6" t="s">
        <v>193</v>
      </c>
      <c r="C47" s="56" t="s">
        <v>194</v>
      </c>
      <c r="D47" s="6" t="s">
        <v>80</v>
      </c>
      <c r="E47" s="57">
        <v>35</v>
      </c>
      <c r="F47" s="64">
        <v>42000</v>
      </c>
      <c r="G47" s="58">
        <f t="shared" si="4"/>
        <v>1470000</v>
      </c>
      <c r="H47" s="6" t="s">
        <v>65</v>
      </c>
      <c r="I47" s="6" t="s">
        <v>195</v>
      </c>
      <c r="J47" s="6" t="s">
        <v>196</v>
      </c>
      <c r="K47" s="6" t="s">
        <v>197</v>
      </c>
    </row>
    <row r="48" spans="1:11" ht="58.5" customHeight="1">
      <c r="A48" s="6" t="s">
        <v>182</v>
      </c>
      <c r="B48" s="6" t="s">
        <v>198</v>
      </c>
      <c r="C48" s="56" t="s">
        <v>199</v>
      </c>
      <c r="D48" s="6" t="s">
        <v>46</v>
      </c>
      <c r="E48" s="57">
        <v>960</v>
      </c>
      <c r="F48" s="58">
        <v>2357</v>
      </c>
      <c r="G48" s="58">
        <f t="shared" si="4"/>
        <v>2262720</v>
      </c>
      <c r="H48" s="6" t="s">
        <v>152</v>
      </c>
      <c r="I48" s="6" t="s">
        <v>200</v>
      </c>
      <c r="J48" s="6" t="s">
        <v>201</v>
      </c>
      <c r="K48" s="6" t="s">
        <v>202</v>
      </c>
    </row>
    <row r="49" spans="1:11" ht="58.5" customHeight="1">
      <c r="A49" s="6" t="s">
        <v>182</v>
      </c>
      <c r="B49" s="6" t="s">
        <v>203</v>
      </c>
      <c r="C49" s="56" t="s">
        <v>204</v>
      </c>
      <c r="D49" s="6" t="s">
        <v>46</v>
      </c>
      <c r="E49" s="57">
        <v>300</v>
      </c>
      <c r="F49" s="58">
        <v>1740</v>
      </c>
      <c r="G49" s="58">
        <f t="shared" si="4"/>
        <v>522000</v>
      </c>
      <c r="H49" s="6" t="s">
        <v>71</v>
      </c>
      <c r="I49" s="6" t="s">
        <v>205</v>
      </c>
      <c r="J49" s="6" t="s">
        <v>206</v>
      </c>
      <c r="K49" s="6" t="s">
        <v>207</v>
      </c>
    </row>
    <row r="50" spans="1:11" ht="58.5" customHeight="1">
      <c r="A50" s="6" t="s">
        <v>182</v>
      </c>
      <c r="B50" s="6" t="s">
        <v>208</v>
      </c>
      <c r="C50" s="56" t="s">
        <v>209</v>
      </c>
      <c r="D50" s="6" t="s">
        <v>46</v>
      </c>
      <c r="E50" s="57">
        <v>500</v>
      </c>
      <c r="F50" s="58">
        <v>2357</v>
      </c>
      <c r="G50" s="58">
        <f t="shared" si="4"/>
        <v>1178500</v>
      </c>
      <c r="H50" s="6" t="s">
        <v>152</v>
      </c>
      <c r="I50" s="6" t="s">
        <v>200</v>
      </c>
      <c r="J50" s="6" t="s">
        <v>210</v>
      </c>
      <c r="K50" s="6" t="s">
        <v>211</v>
      </c>
    </row>
    <row r="51" spans="1:11" ht="58.5" customHeight="1">
      <c r="A51" s="99" t="s">
        <v>212</v>
      </c>
      <c r="B51" s="99"/>
      <c r="C51" s="99"/>
      <c r="D51" s="99"/>
      <c r="E51" s="100"/>
      <c r="F51" s="101"/>
      <c r="G51" s="59">
        <f>SUM(G45:G50)</f>
        <v>9091720</v>
      </c>
      <c r="H51" s="9"/>
      <c r="I51" s="9"/>
      <c r="J51" s="9"/>
      <c r="K51" s="9"/>
    </row>
    <row r="52" spans="1:11" ht="58.5" customHeight="1">
      <c r="A52" s="55" t="s">
        <v>213</v>
      </c>
      <c r="B52" s="55"/>
      <c r="C52" s="55"/>
      <c r="D52" s="55"/>
      <c r="E52" s="62"/>
      <c r="F52" s="63"/>
      <c r="G52" s="63"/>
      <c r="H52" s="55"/>
      <c r="I52" s="55"/>
      <c r="J52" s="55"/>
      <c r="K52" s="55"/>
    </row>
    <row r="53" spans="1:11" ht="58.5" customHeight="1">
      <c r="A53" s="6" t="s">
        <v>214</v>
      </c>
      <c r="B53" s="6" t="s">
        <v>215</v>
      </c>
      <c r="C53" s="56" t="s">
        <v>216</v>
      </c>
      <c r="D53" s="6" t="s">
        <v>46</v>
      </c>
      <c r="E53" s="57">
        <v>240</v>
      </c>
      <c r="F53" s="58">
        <v>13500</v>
      </c>
      <c r="G53" s="58">
        <f t="shared" ref="G53:G63" si="5">E53*F53</f>
        <v>3240000</v>
      </c>
      <c r="H53" s="6" t="s">
        <v>217</v>
      </c>
      <c r="I53" s="6" t="s">
        <v>218</v>
      </c>
      <c r="J53" s="6" t="s">
        <v>219</v>
      </c>
      <c r="K53" s="6" t="s">
        <v>220</v>
      </c>
    </row>
    <row r="54" spans="1:11" ht="58.5" customHeight="1">
      <c r="A54" s="6" t="s">
        <v>214</v>
      </c>
      <c r="B54" s="6" t="s">
        <v>221</v>
      </c>
      <c r="C54" s="56" t="s">
        <v>222</v>
      </c>
      <c r="D54" s="6" t="s">
        <v>46</v>
      </c>
      <c r="E54" s="57">
        <v>500</v>
      </c>
      <c r="F54" s="58">
        <v>5782.31</v>
      </c>
      <c r="G54" s="58">
        <f t="shared" si="5"/>
        <v>2891155</v>
      </c>
      <c r="H54" s="6" t="s">
        <v>223</v>
      </c>
      <c r="I54" s="6" t="s">
        <v>224</v>
      </c>
      <c r="J54" s="6" t="s">
        <v>225</v>
      </c>
      <c r="K54" s="6" t="s">
        <v>226</v>
      </c>
    </row>
    <row r="55" spans="1:11" ht="58.5" customHeight="1">
      <c r="A55" s="6" t="s">
        <v>214</v>
      </c>
      <c r="B55" s="6" t="s">
        <v>227</v>
      </c>
      <c r="C55" s="56" t="s">
        <v>228</v>
      </c>
      <c r="D55" s="6" t="s">
        <v>46</v>
      </c>
      <c r="E55" s="57">
        <v>90</v>
      </c>
      <c r="F55" s="58">
        <v>5746.75</v>
      </c>
      <c r="G55" s="58">
        <f t="shared" si="5"/>
        <v>517207.5</v>
      </c>
      <c r="H55" s="6" t="s">
        <v>223</v>
      </c>
      <c r="I55" s="6" t="s">
        <v>224</v>
      </c>
      <c r="J55" s="6" t="s">
        <v>229</v>
      </c>
      <c r="K55" s="6" t="s">
        <v>230</v>
      </c>
    </row>
    <row r="56" spans="1:11" ht="58.5" customHeight="1">
      <c r="A56" s="6" t="s">
        <v>214</v>
      </c>
      <c r="B56" s="6" t="s">
        <v>231</v>
      </c>
      <c r="C56" s="56" t="s">
        <v>232</v>
      </c>
      <c r="D56" s="6" t="s">
        <v>46</v>
      </c>
      <c r="E56" s="57">
        <v>220</v>
      </c>
      <c r="F56" s="58">
        <v>6393.18</v>
      </c>
      <c r="G56" s="58">
        <f t="shared" si="5"/>
        <v>1406499.6</v>
      </c>
      <c r="H56" s="6" t="s">
        <v>223</v>
      </c>
      <c r="I56" s="6" t="s">
        <v>233</v>
      </c>
      <c r="J56" s="6" t="s">
        <v>234</v>
      </c>
      <c r="K56" s="6" t="s">
        <v>235</v>
      </c>
    </row>
    <row r="57" spans="1:11" ht="373.95" customHeight="1">
      <c r="A57" s="6" t="s">
        <v>214</v>
      </c>
      <c r="B57" s="6" t="s">
        <v>236</v>
      </c>
      <c r="C57" s="60" t="s">
        <v>2470</v>
      </c>
      <c r="D57" s="6" t="s">
        <v>46</v>
      </c>
      <c r="E57" s="57">
        <v>750</v>
      </c>
      <c r="F57" s="58">
        <f>24952*1.1</f>
        <v>27447.200000000001</v>
      </c>
      <c r="G57" s="58">
        <f t="shared" si="5"/>
        <v>20585400</v>
      </c>
      <c r="H57" s="6" t="s">
        <v>2469</v>
      </c>
      <c r="I57" s="6" t="s">
        <v>237</v>
      </c>
      <c r="J57" s="6" t="s">
        <v>238</v>
      </c>
      <c r="K57" s="6" t="s">
        <v>239</v>
      </c>
    </row>
    <row r="58" spans="1:11" ht="58.5" customHeight="1">
      <c r="A58" s="6" t="s">
        <v>214</v>
      </c>
      <c r="B58" s="6" t="s">
        <v>240</v>
      </c>
      <c r="C58" s="56" t="s">
        <v>241</v>
      </c>
      <c r="D58" s="6" t="s">
        <v>46</v>
      </c>
      <c r="E58" s="57">
        <v>1900</v>
      </c>
      <c r="F58" s="58">
        <v>1126.49</v>
      </c>
      <c r="G58" s="58">
        <f t="shared" si="5"/>
        <v>2140331</v>
      </c>
      <c r="H58" s="6" t="s">
        <v>223</v>
      </c>
      <c r="I58" s="6" t="s">
        <v>242</v>
      </c>
      <c r="J58" s="6" t="s">
        <v>243</v>
      </c>
      <c r="K58" s="6" t="s">
        <v>244</v>
      </c>
    </row>
    <row r="59" spans="1:11" ht="58.5" customHeight="1">
      <c r="A59" s="6" t="s">
        <v>214</v>
      </c>
      <c r="B59" s="6" t="s">
        <v>245</v>
      </c>
      <c r="C59" s="56" t="s">
        <v>246</v>
      </c>
      <c r="D59" s="6" t="s">
        <v>46</v>
      </c>
      <c r="E59" s="57">
        <v>300</v>
      </c>
      <c r="F59" s="58">
        <v>1336.04</v>
      </c>
      <c r="G59" s="58">
        <f t="shared" si="5"/>
        <v>400812</v>
      </c>
      <c r="H59" s="6" t="s">
        <v>223</v>
      </c>
      <c r="I59" s="6" t="s">
        <v>242</v>
      </c>
      <c r="J59" s="6" t="s">
        <v>247</v>
      </c>
      <c r="K59" s="6" t="s">
        <v>248</v>
      </c>
    </row>
    <row r="60" spans="1:11" ht="58.5" customHeight="1">
      <c r="A60" s="6" t="s">
        <v>214</v>
      </c>
      <c r="B60" s="6" t="s">
        <v>249</v>
      </c>
      <c r="C60" s="56" t="s">
        <v>250</v>
      </c>
      <c r="D60" s="6" t="s">
        <v>46</v>
      </c>
      <c r="E60" s="57">
        <v>90</v>
      </c>
      <c r="F60" s="58">
        <v>5500</v>
      </c>
      <c r="G60" s="58">
        <f t="shared" si="5"/>
        <v>495000</v>
      </c>
      <c r="H60" s="6" t="s">
        <v>21</v>
      </c>
      <c r="I60" s="6" t="s">
        <v>251</v>
      </c>
      <c r="J60" s="6" t="s">
        <v>252</v>
      </c>
      <c r="K60" s="6" t="s">
        <v>253</v>
      </c>
    </row>
    <row r="61" spans="1:11" ht="58.5" customHeight="1">
      <c r="A61" s="6" t="s">
        <v>214</v>
      </c>
      <c r="B61" s="6" t="s">
        <v>254</v>
      </c>
      <c r="C61" s="56" t="s">
        <v>255</v>
      </c>
      <c r="D61" s="6" t="s">
        <v>103</v>
      </c>
      <c r="E61" s="57">
        <v>120</v>
      </c>
      <c r="F61" s="58">
        <v>5000</v>
      </c>
      <c r="G61" s="58">
        <f t="shared" si="5"/>
        <v>600000</v>
      </c>
      <c r="H61" s="6" t="s">
        <v>21</v>
      </c>
      <c r="I61" s="6" t="s">
        <v>256</v>
      </c>
      <c r="J61" s="6" t="s">
        <v>257</v>
      </c>
      <c r="K61" s="6" t="s">
        <v>258</v>
      </c>
    </row>
    <row r="62" spans="1:11" ht="58.5" customHeight="1">
      <c r="A62" s="6" t="s">
        <v>214</v>
      </c>
      <c r="B62" s="6" t="s">
        <v>259</v>
      </c>
      <c r="C62" s="56" t="s">
        <v>260</v>
      </c>
      <c r="D62" s="6" t="s">
        <v>111</v>
      </c>
      <c r="E62" s="57">
        <v>40</v>
      </c>
      <c r="F62" s="58">
        <v>6000</v>
      </c>
      <c r="G62" s="58">
        <f t="shared" si="5"/>
        <v>240000</v>
      </c>
      <c r="H62" s="6" t="s">
        <v>21</v>
      </c>
      <c r="I62" s="6" t="s">
        <v>261</v>
      </c>
      <c r="J62" s="6" t="s">
        <v>257</v>
      </c>
      <c r="K62" s="6" t="s">
        <v>262</v>
      </c>
    </row>
    <row r="63" spans="1:11" ht="58.5" customHeight="1">
      <c r="A63" s="6" t="s">
        <v>214</v>
      </c>
      <c r="B63" s="6" t="s">
        <v>263</v>
      </c>
      <c r="C63" s="56" t="s">
        <v>264</v>
      </c>
      <c r="D63" s="6" t="s">
        <v>20</v>
      </c>
      <c r="E63" s="57">
        <v>1</v>
      </c>
      <c r="F63" s="58">
        <v>500000</v>
      </c>
      <c r="G63" s="58">
        <f t="shared" si="5"/>
        <v>500000</v>
      </c>
      <c r="H63" s="6" t="s">
        <v>21</v>
      </c>
      <c r="I63" s="6" t="s">
        <v>265</v>
      </c>
      <c r="J63" s="6" t="s">
        <v>266</v>
      </c>
      <c r="K63" s="6" t="s">
        <v>267</v>
      </c>
    </row>
    <row r="64" spans="1:11" ht="58.5" customHeight="1">
      <c r="A64" s="99" t="s">
        <v>268</v>
      </c>
      <c r="B64" s="99"/>
      <c r="C64" s="99"/>
      <c r="D64" s="99"/>
      <c r="E64" s="100"/>
      <c r="F64" s="101"/>
      <c r="G64" s="59">
        <f>SUM(G53:G63)</f>
        <v>33016405.100000001</v>
      </c>
      <c r="H64" s="9"/>
      <c r="I64" s="9"/>
      <c r="J64" s="9"/>
      <c r="K64" s="9"/>
    </row>
    <row r="65" spans="1:11" ht="58.5" customHeight="1">
      <c r="A65" s="55" t="s">
        <v>269</v>
      </c>
      <c r="B65" s="65"/>
      <c r="C65" s="65"/>
      <c r="D65" s="65"/>
      <c r="E65" s="66"/>
      <c r="F65" s="67"/>
      <c r="G65" s="67"/>
      <c r="H65" s="65"/>
      <c r="I65" s="65"/>
      <c r="J65" s="65"/>
      <c r="K65" s="65"/>
    </row>
    <row r="66" spans="1:11" ht="222" customHeight="1">
      <c r="A66" s="6" t="s">
        <v>270</v>
      </c>
      <c r="B66" s="6" t="s">
        <v>271</v>
      </c>
      <c r="C66" s="60" t="s">
        <v>2473</v>
      </c>
      <c r="D66" s="6" t="s">
        <v>111</v>
      </c>
      <c r="E66" s="57">
        <v>10</v>
      </c>
      <c r="F66" s="58">
        <v>220000</v>
      </c>
      <c r="G66" s="58">
        <f t="shared" ref="G66:G72" si="6">E66*F66</f>
        <v>2200000</v>
      </c>
      <c r="H66" s="6" t="s">
        <v>272</v>
      </c>
      <c r="I66" s="6" t="s">
        <v>273</v>
      </c>
      <c r="J66" s="6" t="s">
        <v>274</v>
      </c>
      <c r="K66" s="6" t="s">
        <v>275</v>
      </c>
    </row>
    <row r="67" spans="1:11" ht="257.55" customHeight="1">
      <c r="A67" s="6"/>
      <c r="B67" s="6" t="s">
        <v>276</v>
      </c>
      <c r="C67" s="56" t="s">
        <v>2474</v>
      </c>
      <c r="D67" s="6"/>
      <c r="E67" s="57">
        <v>6</v>
      </c>
      <c r="F67" s="58">
        <v>210000</v>
      </c>
      <c r="G67" s="58">
        <f t="shared" si="6"/>
        <v>1260000</v>
      </c>
      <c r="H67" s="6"/>
      <c r="I67" s="6"/>
      <c r="J67" s="6"/>
      <c r="K67" s="6"/>
    </row>
    <row r="68" spans="1:11" ht="257.55" customHeight="1">
      <c r="A68" s="6"/>
      <c r="B68" s="6" t="s">
        <v>277</v>
      </c>
      <c r="C68" s="56" t="s">
        <v>2475</v>
      </c>
      <c r="D68" s="6"/>
      <c r="E68" s="57">
        <v>15</v>
      </c>
      <c r="F68" s="58">
        <v>155000</v>
      </c>
      <c r="G68" s="58">
        <f t="shared" si="6"/>
        <v>2325000</v>
      </c>
      <c r="H68" s="6"/>
      <c r="I68" s="6"/>
      <c r="J68" s="6"/>
      <c r="K68" s="6"/>
    </row>
    <row r="69" spans="1:11" ht="223.05" customHeight="1">
      <c r="A69" s="6"/>
      <c r="B69" s="6" t="s">
        <v>2476</v>
      </c>
      <c r="C69" s="56" t="s">
        <v>2483</v>
      </c>
      <c r="D69" s="6"/>
      <c r="E69" s="57">
        <v>8</v>
      </c>
      <c r="F69" s="58">
        <v>120000</v>
      </c>
      <c r="G69" s="58">
        <f t="shared" si="6"/>
        <v>960000</v>
      </c>
      <c r="H69" s="6"/>
      <c r="I69" s="6"/>
      <c r="J69" s="6"/>
      <c r="K69" s="6"/>
    </row>
    <row r="70" spans="1:11" ht="330.45" customHeight="1">
      <c r="A70" s="6"/>
      <c r="B70" s="6" t="s">
        <v>2477</v>
      </c>
      <c r="C70" s="56" t="s">
        <v>2480</v>
      </c>
      <c r="D70" s="6"/>
      <c r="E70" s="57">
        <v>1</v>
      </c>
      <c r="F70" s="58">
        <v>180000</v>
      </c>
      <c r="G70" s="58">
        <f t="shared" si="6"/>
        <v>180000</v>
      </c>
      <c r="H70" s="6"/>
      <c r="I70" s="6"/>
      <c r="J70" s="6"/>
      <c r="K70" s="6"/>
    </row>
    <row r="71" spans="1:11" ht="322.05" customHeight="1">
      <c r="A71" s="6"/>
      <c r="B71" s="6" t="s">
        <v>2478</v>
      </c>
      <c r="C71" s="56" t="s">
        <v>2479</v>
      </c>
      <c r="D71" s="6"/>
      <c r="E71" s="57">
        <v>3</v>
      </c>
      <c r="F71" s="58">
        <v>195000</v>
      </c>
      <c r="G71" s="58">
        <f t="shared" si="6"/>
        <v>585000</v>
      </c>
      <c r="H71" s="6"/>
      <c r="I71" s="6"/>
      <c r="J71" s="6"/>
      <c r="K71" s="6"/>
    </row>
    <row r="72" spans="1:11" ht="303.60000000000002">
      <c r="A72" s="6" t="s">
        <v>270</v>
      </c>
      <c r="B72" s="6" t="s">
        <v>2482</v>
      </c>
      <c r="C72" s="56" t="s">
        <v>2481</v>
      </c>
      <c r="D72" s="6" t="s">
        <v>77</v>
      </c>
      <c r="E72" s="57">
        <v>120</v>
      </c>
      <c r="F72" s="58">
        <v>45000</v>
      </c>
      <c r="G72" s="58">
        <f t="shared" si="6"/>
        <v>5400000</v>
      </c>
      <c r="H72" s="6" t="s">
        <v>21</v>
      </c>
      <c r="I72" s="6" t="s">
        <v>278</v>
      </c>
      <c r="J72" s="6" t="s">
        <v>279</v>
      </c>
      <c r="K72" s="6" t="s">
        <v>280</v>
      </c>
    </row>
    <row r="73" spans="1:11" ht="58.5" customHeight="1">
      <c r="A73" s="99" t="s">
        <v>281</v>
      </c>
      <c r="B73" s="99"/>
      <c r="C73" s="99"/>
      <c r="D73" s="99"/>
      <c r="E73" s="100"/>
      <c r="F73" s="101"/>
      <c r="G73" s="59">
        <f>SUM(G66:G72)</f>
        <v>12910000</v>
      </c>
      <c r="H73" s="9"/>
      <c r="I73" s="9"/>
      <c r="J73" s="9"/>
      <c r="K73" s="9"/>
    </row>
    <row r="74" spans="1:11" ht="58.5" customHeight="1">
      <c r="A74" s="55" t="s">
        <v>282</v>
      </c>
      <c r="B74" s="55"/>
      <c r="C74" s="55"/>
      <c r="D74" s="55"/>
      <c r="E74" s="62"/>
      <c r="F74" s="63"/>
      <c r="G74" s="63"/>
      <c r="H74" s="55"/>
      <c r="I74" s="55"/>
      <c r="J74" s="55"/>
      <c r="K74" s="55"/>
    </row>
    <row r="75" spans="1:11" ht="58.5" customHeight="1">
      <c r="A75" s="6" t="s">
        <v>283</v>
      </c>
      <c r="B75" s="6" t="s">
        <v>284</v>
      </c>
      <c r="C75" s="56" t="s">
        <v>285</v>
      </c>
      <c r="D75" s="6" t="s">
        <v>286</v>
      </c>
      <c r="E75" s="57">
        <v>1</v>
      </c>
      <c r="F75" s="58">
        <v>450000</v>
      </c>
      <c r="G75" s="58">
        <f>E75*F75</f>
        <v>450000</v>
      </c>
      <c r="H75" s="6" t="s">
        <v>21</v>
      </c>
      <c r="I75" s="6" t="s">
        <v>287</v>
      </c>
      <c r="J75" s="6" t="s">
        <v>288</v>
      </c>
      <c r="K75" s="6" t="s">
        <v>289</v>
      </c>
    </row>
    <row r="76" spans="1:11" ht="58.5" customHeight="1">
      <c r="A76" s="6" t="s">
        <v>283</v>
      </c>
      <c r="B76" s="6" t="s">
        <v>290</v>
      </c>
      <c r="C76" s="56" t="s">
        <v>291</v>
      </c>
      <c r="D76" s="6" t="s">
        <v>20</v>
      </c>
      <c r="E76" s="57">
        <v>1</v>
      </c>
      <c r="F76" s="58">
        <v>1000000</v>
      </c>
      <c r="G76" s="58">
        <f>E76*F76</f>
        <v>1000000</v>
      </c>
      <c r="H76" s="6" t="s">
        <v>21</v>
      </c>
      <c r="I76" s="6" t="s">
        <v>292</v>
      </c>
      <c r="J76" s="6" t="s">
        <v>293</v>
      </c>
      <c r="K76" s="6" t="s">
        <v>294</v>
      </c>
    </row>
    <row r="77" spans="1:11" ht="40.950000000000003" customHeight="1">
      <c r="A77" s="6"/>
      <c r="B77" s="6"/>
      <c r="C77" s="56" t="s">
        <v>2487</v>
      </c>
      <c r="D77" s="6"/>
      <c r="E77" s="57"/>
      <c r="F77" s="58"/>
      <c r="G77" s="58"/>
      <c r="H77" s="6"/>
      <c r="I77" s="6"/>
      <c r="J77" s="6"/>
      <c r="K77" s="6"/>
    </row>
    <row r="78" spans="1:11" ht="119.55" customHeight="1">
      <c r="A78" s="6"/>
      <c r="B78" s="6"/>
      <c r="C78" s="6" t="s">
        <v>2485</v>
      </c>
      <c r="D78" s="6"/>
      <c r="E78" s="57">
        <v>7</v>
      </c>
      <c r="F78" s="58">
        <v>90000</v>
      </c>
      <c r="G78" s="58">
        <f>E78*F78</f>
        <v>630000</v>
      </c>
      <c r="H78" s="6"/>
      <c r="I78" s="6"/>
      <c r="J78" s="6"/>
      <c r="K78" s="6"/>
    </row>
    <row r="79" spans="1:11" ht="94.05" customHeight="1">
      <c r="A79" s="6"/>
      <c r="B79" s="6"/>
      <c r="C79" s="6" t="s">
        <v>2484</v>
      </c>
      <c r="D79" s="6"/>
      <c r="E79" s="57">
        <v>7</v>
      </c>
      <c r="F79" s="58">
        <v>45000</v>
      </c>
      <c r="G79" s="58">
        <f>E79*F79</f>
        <v>315000</v>
      </c>
      <c r="H79" s="6"/>
      <c r="I79" s="6"/>
      <c r="J79" s="6"/>
      <c r="K79" s="6"/>
    </row>
    <row r="80" spans="1:11" ht="58.5" customHeight="1">
      <c r="A80" s="6"/>
      <c r="B80" s="6"/>
      <c r="C80" s="6" t="s">
        <v>2486</v>
      </c>
      <c r="D80" s="6"/>
      <c r="E80" s="57">
        <v>7</v>
      </c>
      <c r="F80" s="58">
        <v>25000</v>
      </c>
      <c r="G80" s="58">
        <f>E80*F80</f>
        <v>175000</v>
      </c>
      <c r="H80" s="6"/>
      <c r="I80" s="6"/>
      <c r="J80" s="6"/>
      <c r="K80" s="6"/>
    </row>
    <row r="81" spans="1:11" ht="58.5" customHeight="1">
      <c r="A81" s="6" t="s">
        <v>283</v>
      </c>
      <c r="B81" s="6" t="s">
        <v>295</v>
      </c>
      <c r="C81" s="56" t="s">
        <v>296</v>
      </c>
      <c r="D81" s="6" t="s">
        <v>111</v>
      </c>
      <c r="E81" s="57">
        <v>2</v>
      </c>
      <c r="F81" s="58">
        <v>250000</v>
      </c>
      <c r="G81" s="58">
        <f>E81*F81</f>
        <v>500000</v>
      </c>
      <c r="H81" s="6" t="s">
        <v>21</v>
      </c>
      <c r="I81" s="6" t="s">
        <v>297</v>
      </c>
      <c r="J81" s="6" t="s">
        <v>298</v>
      </c>
      <c r="K81" s="6" t="s">
        <v>299</v>
      </c>
    </row>
    <row r="82" spans="1:11" ht="58.5" customHeight="1">
      <c r="A82" s="6" t="s">
        <v>283</v>
      </c>
      <c r="B82" s="6" t="s">
        <v>300</v>
      </c>
      <c r="C82" s="56" t="s">
        <v>301</v>
      </c>
      <c r="D82" s="6" t="s">
        <v>20</v>
      </c>
      <c r="E82" s="57">
        <v>1</v>
      </c>
      <c r="F82" s="58">
        <v>750000</v>
      </c>
      <c r="G82" s="58">
        <f>E82*F82</f>
        <v>750000</v>
      </c>
      <c r="H82" s="6" t="s">
        <v>21</v>
      </c>
      <c r="I82" s="6" t="s">
        <v>302</v>
      </c>
      <c r="J82" s="6" t="s">
        <v>303</v>
      </c>
      <c r="K82" s="6" t="s">
        <v>304</v>
      </c>
    </row>
    <row r="83" spans="1:11" ht="58.5" customHeight="1">
      <c r="A83" s="99" t="s">
        <v>305</v>
      </c>
      <c r="B83" s="99"/>
      <c r="C83" s="99"/>
      <c r="D83" s="99"/>
      <c r="E83" s="100"/>
      <c r="F83" s="101"/>
      <c r="G83" s="59">
        <f>SUM(G75:G82)</f>
        <v>3820000</v>
      </c>
      <c r="H83" s="9"/>
      <c r="I83" s="9"/>
      <c r="J83" s="9"/>
      <c r="K83" s="9"/>
    </row>
    <row r="84" spans="1:11" ht="58.5" customHeight="1">
      <c r="A84" s="55" t="s">
        <v>306</v>
      </c>
      <c r="B84" s="55"/>
      <c r="C84" s="55"/>
      <c r="D84" s="55"/>
      <c r="E84" s="62"/>
      <c r="F84" s="63"/>
      <c r="G84" s="63"/>
      <c r="H84" s="55"/>
      <c r="I84" s="55"/>
      <c r="J84" s="55"/>
      <c r="K84" s="55"/>
    </row>
    <row r="85" spans="1:11" ht="58.5" customHeight="1">
      <c r="A85" s="6" t="s">
        <v>307</v>
      </c>
      <c r="B85" s="6" t="s">
        <v>308</v>
      </c>
      <c r="C85" s="56" t="s">
        <v>309</v>
      </c>
      <c r="D85" s="6" t="s">
        <v>20</v>
      </c>
      <c r="E85" s="57">
        <v>1</v>
      </c>
      <c r="F85" s="58">
        <v>350000</v>
      </c>
      <c r="G85" s="58">
        <f>E85*F85</f>
        <v>350000</v>
      </c>
      <c r="H85" s="6" t="s">
        <v>21</v>
      </c>
      <c r="I85" s="6" t="s">
        <v>310</v>
      </c>
      <c r="J85" s="6" t="s">
        <v>311</v>
      </c>
      <c r="K85" s="6" t="s">
        <v>312</v>
      </c>
    </row>
    <row r="86" spans="1:11" ht="58.5" customHeight="1">
      <c r="A86" s="6" t="s">
        <v>307</v>
      </c>
      <c r="B86" s="6" t="s">
        <v>313</v>
      </c>
      <c r="C86" s="56" t="s">
        <v>314</v>
      </c>
      <c r="D86" s="6" t="s">
        <v>20</v>
      </c>
      <c r="E86" s="57">
        <v>1</v>
      </c>
      <c r="F86" s="58">
        <v>500000</v>
      </c>
      <c r="G86" s="58">
        <f>E86*F86</f>
        <v>500000</v>
      </c>
      <c r="H86" s="6" t="s">
        <v>21</v>
      </c>
      <c r="I86" s="6" t="s">
        <v>315</v>
      </c>
      <c r="J86" s="6" t="s">
        <v>316</v>
      </c>
      <c r="K86" s="6" t="s">
        <v>317</v>
      </c>
    </row>
    <row r="87" spans="1:11" ht="58.5" customHeight="1">
      <c r="A87" s="6" t="s">
        <v>307</v>
      </c>
      <c r="B87" s="6" t="s">
        <v>318</v>
      </c>
      <c r="C87" s="56" t="s">
        <v>319</v>
      </c>
      <c r="D87" s="6" t="s">
        <v>20</v>
      </c>
      <c r="E87" s="57">
        <v>1</v>
      </c>
      <c r="F87" s="58">
        <v>250000</v>
      </c>
      <c r="G87" s="58">
        <f>E87*F87</f>
        <v>250000</v>
      </c>
      <c r="H87" s="6" t="s">
        <v>21</v>
      </c>
      <c r="I87" s="6" t="s">
        <v>320</v>
      </c>
      <c r="J87" s="6" t="s">
        <v>321</v>
      </c>
      <c r="K87" s="6" t="s">
        <v>322</v>
      </c>
    </row>
    <row r="88" spans="1:11" ht="58.5" customHeight="1">
      <c r="A88" s="99" t="s">
        <v>323</v>
      </c>
      <c r="B88" s="99"/>
      <c r="C88" s="99"/>
      <c r="D88" s="99"/>
      <c r="E88" s="100"/>
      <c r="F88" s="101"/>
      <c r="G88" s="59">
        <f>SUM(G85:G87)</f>
        <v>1100000</v>
      </c>
      <c r="H88" s="9"/>
      <c r="I88" s="9"/>
      <c r="J88" s="9"/>
      <c r="K88" s="9"/>
    </row>
    <row r="89" spans="1:11" ht="58.5" customHeight="1">
      <c r="A89" s="6"/>
      <c r="B89" s="6"/>
      <c r="C89" s="56"/>
      <c r="D89" s="6"/>
      <c r="E89" s="57"/>
      <c r="F89" s="58"/>
      <c r="G89" s="58"/>
      <c r="H89" s="6"/>
      <c r="I89" s="6"/>
      <c r="J89" s="6"/>
      <c r="K89" s="6"/>
    </row>
    <row r="90" spans="1:11" ht="58.5" customHeight="1">
      <c r="A90" s="104" t="s">
        <v>324</v>
      </c>
      <c r="B90" s="104"/>
      <c r="C90" s="104"/>
      <c r="D90" s="68"/>
      <c r="E90" s="69"/>
      <c r="F90" s="70"/>
      <c r="G90" s="70"/>
      <c r="H90" s="68"/>
      <c r="I90" s="68"/>
      <c r="J90" s="68"/>
      <c r="K90" s="68"/>
    </row>
    <row r="91" spans="1:11" ht="58.5" customHeight="1">
      <c r="A91" s="71" t="s">
        <v>325</v>
      </c>
      <c r="B91" s="71" t="s">
        <v>326</v>
      </c>
      <c r="C91" s="72" t="s">
        <v>327</v>
      </c>
      <c r="D91" s="71" t="s">
        <v>20</v>
      </c>
      <c r="E91" s="73">
        <v>1</v>
      </c>
      <c r="F91" s="74">
        <v>250000</v>
      </c>
      <c r="G91" s="74">
        <f t="shared" ref="G91:G97" si="7">E91*F91</f>
        <v>250000</v>
      </c>
      <c r="H91" s="71" t="s">
        <v>21</v>
      </c>
      <c r="I91" s="71" t="s">
        <v>328</v>
      </c>
      <c r="J91" s="71" t="s">
        <v>329</v>
      </c>
      <c r="K91" s="71" t="s">
        <v>330</v>
      </c>
    </row>
    <row r="92" spans="1:11" ht="58.5" customHeight="1">
      <c r="A92" s="71" t="s">
        <v>325</v>
      </c>
      <c r="B92" s="71" t="s">
        <v>331</v>
      </c>
      <c r="C92" s="72" t="s">
        <v>332</v>
      </c>
      <c r="D92" s="71" t="s">
        <v>20</v>
      </c>
      <c r="E92" s="73">
        <v>1</v>
      </c>
      <c r="F92" s="74">
        <v>1000000</v>
      </c>
      <c r="G92" s="74">
        <f t="shared" si="7"/>
        <v>1000000</v>
      </c>
      <c r="H92" s="71" t="s">
        <v>21</v>
      </c>
      <c r="I92" s="71" t="s">
        <v>333</v>
      </c>
      <c r="J92" s="71" t="s">
        <v>334</v>
      </c>
      <c r="K92" s="71" t="s">
        <v>335</v>
      </c>
    </row>
    <row r="93" spans="1:11" ht="58.5" customHeight="1">
      <c r="A93" s="71" t="s">
        <v>325</v>
      </c>
      <c r="B93" s="71" t="s">
        <v>336</v>
      </c>
      <c r="C93" s="72" t="s">
        <v>337</v>
      </c>
      <c r="D93" s="71" t="s">
        <v>338</v>
      </c>
      <c r="E93" s="73">
        <v>1</v>
      </c>
      <c r="F93" s="74">
        <v>1500000</v>
      </c>
      <c r="G93" s="74">
        <f t="shared" si="7"/>
        <v>1500000</v>
      </c>
      <c r="H93" s="71" t="s">
        <v>339</v>
      </c>
      <c r="I93" s="71" t="s">
        <v>340</v>
      </c>
      <c r="J93" s="71" t="s">
        <v>341</v>
      </c>
      <c r="K93" s="71" t="s">
        <v>342</v>
      </c>
    </row>
    <row r="94" spans="1:11" ht="58.5" customHeight="1">
      <c r="A94" s="75" t="s">
        <v>325</v>
      </c>
      <c r="B94" s="75" t="s">
        <v>343</v>
      </c>
      <c r="C94" s="76" t="s">
        <v>344</v>
      </c>
      <c r="D94" s="75" t="s">
        <v>20</v>
      </c>
      <c r="E94" s="77">
        <v>1</v>
      </c>
      <c r="F94" s="78">
        <v>900000</v>
      </c>
      <c r="G94" s="78">
        <f t="shared" si="7"/>
        <v>900000</v>
      </c>
      <c r="H94" s="75" t="s">
        <v>21</v>
      </c>
      <c r="I94" s="75" t="s">
        <v>345</v>
      </c>
      <c r="J94" s="75" t="s">
        <v>346</v>
      </c>
      <c r="K94" s="75" t="s">
        <v>347</v>
      </c>
    </row>
    <row r="95" spans="1:11" ht="58.5" customHeight="1">
      <c r="A95" s="71" t="s">
        <v>325</v>
      </c>
      <c r="B95" s="71" t="s">
        <v>348</v>
      </c>
      <c r="C95" s="72" t="s">
        <v>349</v>
      </c>
      <c r="D95" s="71" t="s">
        <v>20</v>
      </c>
      <c r="E95" s="73">
        <v>1</v>
      </c>
      <c r="F95" s="74">
        <v>900000</v>
      </c>
      <c r="G95" s="74">
        <f t="shared" si="7"/>
        <v>900000</v>
      </c>
      <c r="H95" s="71" t="s">
        <v>21</v>
      </c>
      <c r="I95" s="71" t="s">
        <v>350</v>
      </c>
      <c r="J95" s="71" t="s">
        <v>351</v>
      </c>
      <c r="K95" s="71" t="s">
        <v>352</v>
      </c>
    </row>
    <row r="96" spans="1:11" ht="58.5" customHeight="1">
      <c r="A96" s="71" t="s">
        <v>325</v>
      </c>
      <c r="B96" s="71" t="s">
        <v>353</v>
      </c>
      <c r="C96" s="72" t="s">
        <v>354</v>
      </c>
      <c r="D96" s="71" t="s">
        <v>20</v>
      </c>
      <c r="E96" s="73">
        <v>1</v>
      </c>
      <c r="F96" s="74">
        <v>600000</v>
      </c>
      <c r="G96" s="74">
        <f t="shared" si="7"/>
        <v>600000</v>
      </c>
      <c r="H96" s="71" t="s">
        <v>21</v>
      </c>
      <c r="I96" s="71" t="s">
        <v>355</v>
      </c>
      <c r="J96" s="71" t="s">
        <v>356</v>
      </c>
      <c r="K96" s="71" t="s">
        <v>357</v>
      </c>
    </row>
    <row r="97" spans="1:11" ht="58.5" customHeight="1">
      <c r="A97" s="71" t="s">
        <v>325</v>
      </c>
      <c r="B97" s="71" t="s">
        <v>358</v>
      </c>
      <c r="C97" s="72" t="s">
        <v>359</v>
      </c>
      <c r="D97" s="71" t="s">
        <v>20</v>
      </c>
      <c r="E97" s="73">
        <v>1</v>
      </c>
      <c r="F97" s="74">
        <v>600000</v>
      </c>
      <c r="G97" s="74">
        <f t="shared" si="7"/>
        <v>600000</v>
      </c>
      <c r="H97" s="71" t="s">
        <v>360</v>
      </c>
      <c r="I97" s="71" t="s">
        <v>361</v>
      </c>
      <c r="J97" s="71" t="s">
        <v>362</v>
      </c>
      <c r="K97" s="71" t="s">
        <v>363</v>
      </c>
    </row>
    <row r="98" spans="1:11" ht="58.5" customHeight="1">
      <c r="A98" s="103" t="s">
        <v>364</v>
      </c>
      <c r="B98" s="103"/>
      <c r="C98" s="103"/>
      <c r="D98" s="103"/>
      <c r="E98" s="103"/>
      <c r="F98" s="103"/>
      <c r="G98" s="80">
        <f>SUM(G91:G97)</f>
        <v>5750000</v>
      </c>
      <c r="H98" s="79"/>
      <c r="I98" s="79"/>
      <c r="J98" s="79"/>
      <c r="K98" s="79"/>
    </row>
    <row r="100" spans="1:11" ht="58.5" customHeight="1">
      <c r="A100" s="103" t="s">
        <v>365</v>
      </c>
      <c r="B100" s="103"/>
      <c r="C100" s="103"/>
      <c r="D100" s="103"/>
      <c r="E100" s="103"/>
      <c r="F100" s="103"/>
      <c r="G100" s="80">
        <f>G13+G29+G43+G51+G64+G73+G83+G88+G98</f>
        <v>76810176.766666666</v>
      </c>
      <c r="H100" s="79"/>
      <c r="I100" s="79"/>
      <c r="J100" s="79"/>
      <c r="K100" s="79"/>
    </row>
  </sheetData>
  <mergeCells count="12">
    <mergeCell ref="A100:F100"/>
    <mergeCell ref="A83:F83"/>
    <mergeCell ref="A88:F88"/>
    <mergeCell ref="A90:C90"/>
    <mergeCell ref="A64:F64"/>
    <mergeCell ref="A73:F73"/>
    <mergeCell ref="A98:F98"/>
    <mergeCell ref="A29:F29"/>
    <mergeCell ref="A43:F43"/>
    <mergeCell ref="A51:F51"/>
    <mergeCell ref="A2:G2"/>
    <mergeCell ref="A13:F13"/>
  </mergeCells>
  <phoneticPr fontId="15" type="noConversion"/>
  <pageMargins left="0.7" right="0.7" top="0.75" bottom="0.75" header="0.3" footer="0.3"/>
  <pageSetup paperSize="9" scale="6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5"/>
  <sheetViews>
    <sheetView topLeftCell="A7" workbookViewId="0">
      <selection activeCell="H65" sqref="H65"/>
    </sheetView>
  </sheetViews>
  <sheetFormatPr defaultColWidth="8.69921875" defaultRowHeight="13.8"/>
  <cols>
    <col min="1" max="1" width="15" style="8" customWidth="1"/>
    <col min="2" max="2" width="11" style="8" customWidth="1"/>
    <col min="3" max="3" width="56" style="8" customWidth="1"/>
    <col min="4" max="4" width="9" style="8" customWidth="1"/>
    <col min="5" max="6" width="11" style="8" customWidth="1"/>
    <col min="7" max="7" width="13" style="8" customWidth="1"/>
    <col min="8" max="8" width="15" style="8" customWidth="1"/>
    <col min="9" max="9" width="16" style="8" customWidth="1"/>
    <col min="10" max="10" width="15" style="8" customWidth="1"/>
    <col min="11" max="11" width="28" style="8" customWidth="1"/>
    <col min="12" max="12" width="34" style="8" customWidth="1"/>
    <col min="13" max="13" width="14" style="8" customWidth="1"/>
    <col min="14" max="14" width="38" style="8" customWidth="1"/>
    <col min="15" max="16384" width="8.69921875" style="8"/>
  </cols>
  <sheetData>
    <row r="1" spans="1:14" ht="28.8">
      <c r="A1" s="87"/>
      <c r="B1" s="87"/>
      <c r="C1" s="87" t="s">
        <v>2207</v>
      </c>
      <c r="D1" s="87"/>
      <c r="E1" s="87"/>
      <c r="F1" s="87"/>
      <c r="G1" s="87"/>
      <c r="H1" s="87"/>
      <c r="I1" s="87"/>
      <c r="J1" s="87"/>
      <c r="K1" s="87"/>
      <c r="L1" s="87"/>
      <c r="M1" s="87"/>
      <c r="N1" s="87"/>
    </row>
    <row r="3" spans="1:14" ht="27.6">
      <c r="A3" s="84" t="s">
        <v>5</v>
      </c>
      <c r="B3" s="84" t="s">
        <v>619</v>
      </c>
      <c r="C3" s="84" t="s">
        <v>7</v>
      </c>
      <c r="D3" s="84" t="s">
        <v>8</v>
      </c>
      <c r="E3" s="84" t="s">
        <v>9</v>
      </c>
      <c r="F3" s="84"/>
      <c r="G3" s="84" t="s">
        <v>10</v>
      </c>
      <c r="H3" s="84" t="s">
        <v>2457</v>
      </c>
      <c r="I3" s="84" t="s">
        <v>2094</v>
      </c>
      <c r="J3" s="84" t="s">
        <v>2208</v>
      </c>
      <c r="K3" s="84" t="s">
        <v>2209</v>
      </c>
      <c r="L3" s="84" t="s">
        <v>1022</v>
      </c>
      <c r="M3" s="84" t="s">
        <v>4</v>
      </c>
      <c r="N3" s="84" t="s">
        <v>623</v>
      </c>
    </row>
    <row r="4" spans="1:14" ht="27.6">
      <c r="A4" s="84" t="s">
        <v>2516</v>
      </c>
      <c r="B4" s="84"/>
      <c r="C4" s="9" t="s">
        <v>2466</v>
      </c>
      <c r="D4" s="84"/>
      <c r="E4" s="84"/>
      <c r="F4" s="84"/>
      <c r="G4" s="84"/>
      <c r="H4" s="84"/>
      <c r="I4" s="84"/>
      <c r="J4" s="84"/>
      <c r="K4" s="84"/>
      <c r="L4" s="84"/>
      <c r="M4" s="84"/>
      <c r="N4" s="84"/>
    </row>
    <row r="5" spans="1:14" ht="41.4">
      <c r="A5" s="84" t="s">
        <v>2516</v>
      </c>
      <c r="B5" s="6" t="s">
        <v>2517</v>
      </c>
      <c r="C5" s="6" t="s">
        <v>2210</v>
      </c>
      <c r="D5" s="6" t="s">
        <v>80</v>
      </c>
      <c r="E5" s="58">
        <v>15</v>
      </c>
      <c r="F5" s="58"/>
      <c r="G5" s="58">
        <v>1459</v>
      </c>
      <c r="H5" s="58">
        <f>E5*G5</f>
        <v>21885</v>
      </c>
      <c r="I5" s="58">
        <v>21885</v>
      </c>
      <c r="J5" s="6" t="s">
        <v>2097</v>
      </c>
      <c r="K5" s="6" t="s">
        <v>2211</v>
      </c>
      <c r="L5" s="6" t="s">
        <v>2212</v>
      </c>
      <c r="M5" s="6" t="s">
        <v>2213</v>
      </c>
      <c r="N5" s="6"/>
    </row>
    <row r="6" spans="1:14" ht="27.6">
      <c r="A6" s="84" t="s">
        <v>2516</v>
      </c>
      <c r="B6" s="6" t="s">
        <v>2518</v>
      </c>
      <c r="C6" s="6" t="s">
        <v>2214</v>
      </c>
      <c r="D6" s="6" t="s">
        <v>80</v>
      </c>
      <c r="E6" s="58">
        <v>9</v>
      </c>
      <c r="F6" s="58"/>
      <c r="G6" s="58">
        <v>10209</v>
      </c>
      <c r="H6" s="58">
        <f t="shared" ref="H6:H7" si="0">E6*G6</f>
        <v>91881</v>
      </c>
      <c r="I6" s="58">
        <v>91881</v>
      </c>
      <c r="J6" s="6" t="s">
        <v>2097</v>
      </c>
      <c r="K6" s="6" t="s">
        <v>2215</v>
      </c>
      <c r="L6" s="6" t="s">
        <v>2212</v>
      </c>
      <c r="M6" s="6" t="s">
        <v>2213</v>
      </c>
      <c r="N6" s="6"/>
    </row>
    <row r="7" spans="1:14" ht="41.4">
      <c r="A7" s="84" t="s">
        <v>2516</v>
      </c>
      <c r="B7" s="6" t="s">
        <v>2519</v>
      </c>
      <c r="C7" s="6" t="s">
        <v>2465</v>
      </c>
      <c r="D7" s="6" t="s">
        <v>77</v>
      </c>
      <c r="E7" s="58">
        <v>30</v>
      </c>
      <c r="F7" s="58"/>
      <c r="G7" s="58">
        <v>550</v>
      </c>
      <c r="H7" s="58">
        <f t="shared" si="0"/>
        <v>16500</v>
      </c>
      <c r="I7" s="58"/>
      <c r="J7" s="6"/>
      <c r="K7" s="6"/>
      <c r="L7" s="6"/>
      <c r="M7" s="6"/>
      <c r="N7" s="6"/>
    </row>
    <row r="8" spans="1:14" ht="27.6">
      <c r="A8" s="6" t="s">
        <v>2520</v>
      </c>
      <c r="B8" s="6"/>
      <c r="C8" s="9" t="s">
        <v>2467</v>
      </c>
      <c r="D8" s="6"/>
      <c r="E8" s="58"/>
      <c r="F8" s="58"/>
      <c r="G8" s="58"/>
      <c r="H8" s="58"/>
      <c r="I8" s="58"/>
      <c r="J8" s="6"/>
      <c r="K8" s="6"/>
      <c r="L8" s="6"/>
      <c r="M8" s="6"/>
      <c r="N8" s="6"/>
    </row>
    <row r="9" spans="1:14" ht="41.4">
      <c r="A9" s="6" t="s">
        <v>2520</v>
      </c>
      <c r="B9" s="6" t="s">
        <v>2521</v>
      </c>
      <c r="C9" s="6" t="s">
        <v>2216</v>
      </c>
      <c r="D9" s="6" t="s">
        <v>46</v>
      </c>
      <c r="E9" s="58">
        <v>48</v>
      </c>
      <c r="F9" s="58"/>
      <c r="G9" s="58">
        <v>80</v>
      </c>
      <c r="H9" s="58">
        <f t="shared" ref="H9:H48" si="1">E9*G9</f>
        <v>3840</v>
      </c>
      <c r="I9" s="58">
        <v>3840</v>
      </c>
      <c r="J9" s="6" t="s">
        <v>2097</v>
      </c>
      <c r="K9" s="6" t="s">
        <v>190</v>
      </c>
      <c r="L9" s="6" t="s">
        <v>2212</v>
      </c>
      <c r="M9" s="6" t="s">
        <v>2213</v>
      </c>
      <c r="N9" s="6"/>
    </row>
    <row r="10" spans="1:14" ht="27.6">
      <c r="A10" s="6" t="s">
        <v>2520</v>
      </c>
      <c r="B10" s="6" t="s">
        <v>2522</v>
      </c>
      <c r="C10" s="6" t="s">
        <v>2218</v>
      </c>
      <c r="D10" s="6" t="s">
        <v>80</v>
      </c>
      <c r="E10" s="58">
        <v>30</v>
      </c>
      <c r="F10" s="58">
        <f>70*0.6*0.6+6*1.2*1.2*0.6</f>
        <v>30.384</v>
      </c>
      <c r="G10" s="58">
        <v>1889</v>
      </c>
      <c r="H10" s="58">
        <f t="shared" si="1"/>
        <v>56670</v>
      </c>
      <c r="I10" s="58">
        <v>15112</v>
      </c>
      <c r="J10" s="6" t="s">
        <v>2097</v>
      </c>
      <c r="K10" s="6" t="s">
        <v>2219</v>
      </c>
      <c r="L10" s="6" t="s">
        <v>2212</v>
      </c>
      <c r="M10" s="6" t="s">
        <v>2213</v>
      </c>
      <c r="N10" s="6"/>
    </row>
    <row r="11" spans="1:14" ht="27.6">
      <c r="A11" s="6" t="s">
        <v>2520</v>
      </c>
      <c r="B11" s="6" t="s">
        <v>2523</v>
      </c>
      <c r="C11" s="6" t="s">
        <v>2221</v>
      </c>
      <c r="D11" s="6" t="s">
        <v>94</v>
      </c>
      <c r="E11" s="58">
        <v>30</v>
      </c>
      <c r="F11" s="58">
        <f>70*0.45*0.9</f>
        <v>28.35</v>
      </c>
      <c r="G11" s="58">
        <v>21797</v>
      </c>
      <c r="H11" s="58">
        <f t="shared" si="1"/>
        <v>653910</v>
      </c>
      <c r="I11" s="58">
        <v>261564</v>
      </c>
      <c r="J11" s="6" t="s">
        <v>2097</v>
      </c>
      <c r="K11" s="6"/>
      <c r="L11" s="6" t="s">
        <v>2212</v>
      </c>
      <c r="M11" s="6" t="s">
        <v>2213</v>
      </c>
      <c r="N11" s="6"/>
    </row>
    <row r="12" spans="1:14" ht="55.2">
      <c r="A12" s="6" t="s">
        <v>2520</v>
      </c>
      <c r="B12" s="6" t="s">
        <v>2524</v>
      </c>
      <c r="C12" s="6" t="s">
        <v>2446</v>
      </c>
      <c r="D12" s="6" t="s">
        <v>80</v>
      </c>
      <c r="E12" s="58">
        <v>30</v>
      </c>
      <c r="F12" s="58">
        <f>100*0.3</f>
        <v>30</v>
      </c>
      <c r="G12" s="58">
        <v>4500</v>
      </c>
      <c r="H12" s="58">
        <f t="shared" si="1"/>
        <v>135000</v>
      </c>
      <c r="I12" s="58">
        <v>33740</v>
      </c>
      <c r="J12" s="6" t="s">
        <v>2097</v>
      </c>
      <c r="K12" s="6" t="s">
        <v>2223</v>
      </c>
      <c r="L12" s="6" t="s">
        <v>2212</v>
      </c>
      <c r="M12" s="6" t="s">
        <v>2213</v>
      </c>
      <c r="N12" s="6"/>
    </row>
    <row r="13" spans="1:14" ht="69">
      <c r="A13" s="6" t="s">
        <v>2520</v>
      </c>
      <c r="B13" s="6" t="s">
        <v>2525</v>
      </c>
      <c r="C13" s="6" t="s">
        <v>2447</v>
      </c>
      <c r="D13" s="6" t="s">
        <v>46</v>
      </c>
      <c r="E13" s="58">
        <v>120</v>
      </c>
      <c r="F13" s="58">
        <f>70+30</f>
        <v>100</v>
      </c>
      <c r="G13" s="58">
        <v>850</v>
      </c>
      <c r="H13" s="58">
        <f t="shared" si="1"/>
        <v>102000</v>
      </c>
      <c r="I13" s="58">
        <v>40800</v>
      </c>
      <c r="J13" s="6" t="s">
        <v>2097</v>
      </c>
      <c r="K13" s="6" t="s">
        <v>2225</v>
      </c>
      <c r="L13" s="6" t="s">
        <v>2212</v>
      </c>
      <c r="M13" s="6" t="s">
        <v>2213</v>
      </c>
      <c r="N13" s="6"/>
    </row>
    <row r="14" spans="1:14" ht="27.6">
      <c r="A14" s="6" t="s">
        <v>2526</v>
      </c>
      <c r="B14" s="6"/>
      <c r="C14" s="9" t="s">
        <v>2468</v>
      </c>
      <c r="D14" s="6"/>
      <c r="E14" s="58"/>
      <c r="F14" s="58"/>
      <c r="G14" s="58"/>
      <c r="H14" s="58"/>
      <c r="I14" s="58"/>
      <c r="J14" s="6"/>
      <c r="K14" s="6"/>
      <c r="L14" s="6"/>
      <c r="M14" s="6"/>
      <c r="N14" s="6"/>
    </row>
    <row r="15" spans="1:14" ht="27.6">
      <c r="A15" s="6" t="s">
        <v>2526</v>
      </c>
      <c r="B15" s="6" t="s">
        <v>2527</v>
      </c>
      <c r="C15" s="6" t="s">
        <v>2227</v>
      </c>
      <c r="D15" s="6" t="s">
        <v>46</v>
      </c>
      <c r="E15" s="58">
        <v>55</v>
      </c>
      <c r="F15" s="58">
        <f>70*0.6+6*1.2*1.2</f>
        <v>50.64</v>
      </c>
      <c r="G15" s="58">
        <v>1431</v>
      </c>
      <c r="H15" s="58">
        <f t="shared" si="1"/>
        <v>78705</v>
      </c>
      <c r="I15" s="58">
        <v>89437.5</v>
      </c>
      <c r="J15" s="6" t="s">
        <v>2097</v>
      </c>
      <c r="K15" s="6" t="s">
        <v>2228</v>
      </c>
      <c r="L15" s="6" t="s">
        <v>2212</v>
      </c>
      <c r="M15" s="6" t="s">
        <v>2213</v>
      </c>
      <c r="N15" s="6"/>
    </row>
    <row r="16" spans="1:14" ht="27.6">
      <c r="A16" s="6" t="s">
        <v>2526</v>
      </c>
      <c r="B16" s="6" t="s">
        <v>2528</v>
      </c>
      <c r="C16" s="6" t="s">
        <v>2448</v>
      </c>
      <c r="D16" s="6" t="s">
        <v>80</v>
      </c>
      <c r="E16" s="58">
        <v>3</v>
      </c>
      <c r="F16" s="58">
        <f>6*1.2*1.2*0.3</f>
        <v>2.5919999999999996</v>
      </c>
      <c r="G16" s="58">
        <v>34095</v>
      </c>
      <c r="H16" s="58">
        <f t="shared" si="1"/>
        <v>102285</v>
      </c>
      <c r="I16" s="58">
        <v>647805</v>
      </c>
      <c r="J16" s="6" t="s">
        <v>2097</v>
      </c>
      <c r="K16" s="6" t="s">
        <v>2230</v>
      </c>
      <c r="L16" s="6" t="s">
        <v>2212</v>
      </c>
      <c r="M16" s="6" t="s">
        <v>2213</v>
      </c>
      <c r="N16" s="6"/>
    </row>
    <row r="17" spans="1:14" ht="27.6">
      <c r="A17" s="6" t="s">
        <v>2526</v>
      </c>
      <c r="B17" s="6" t="s">
        <v>2493</v>
      </c>
      <c r="C17" s="6" t="s">
        <v>2449</v>
      </c>
      <c r="D17" s="6" t="s">
        <v>80</v>
      </c>
      <c r="E17" s="58">
        <v>3</v>
      </c>
      <c r="F17" s="58">
        <f>6*4*0.3*0.3</f>
        <v>2.1599999999999997</v>
      </c>
      <c r="G17" s="58">
        <v>34095</v>
      </c>
      <c r="H17" s="58">
        <f t="shared" si="1"/>
        <v>102285</v>
      </c>
      <c r="I17" s="58">
        <v>184113</v>
      </c>
      <c r="J17" s="6" t="s">
        <v>2097</v>
      </c>
      <c r="K17" s="6" t="s">
        <v>2230</v>
      </c>
      <c r="L17" s="6" t="s">
        <v>2212</v>
      </c>
      <c r="M17" s="6" t="s">
        <v>2213</v>
      </c>
      <c r="N17" s="6"/>
    </row>
    <row r="18" spans="1:14" ht="27.6">
      <c r="A18" s="6" t="s">
        <v>2526</v>
      </c>
      <c r="B18" s="6" t="s">
        <v>2529</v>
      </c>
      <c r="C18" s="6" t="s">
        <v>2450</v>
      </c>
      <c r="D18" s="6" t="s">
        <v>80</v>
      </c>
      <c r="E18" s="58">
        <v>3</v>
      </c>
      <c r="F18" s="58">
        <f>3*4*0.4*0.3+2*0.25*0.25*8</f>
        <v>2.4400000000000004</v>
      </c>
      <c r="G18" s="58">
        <v>34095</v>
      </c>
      <c r="H18" s="58">
        <f t="shared" si="1"/>
        <v>102285</v>
      </c>
      <c r="I18" s="58">
        <v>508015.5</v>
      </c>
      <c r="J18" s="6" t="s">
        <v>2097</v>
      </c>
      <c r="K18" s="6" t="s">
        <v>2230</v>
      </c>
      <c r="L18" s="6" t="s">
        <v>2212</v>
      </c>
      <c r="M18" s="6" t="s">
        <v>2213</v>
      </c>
      <c r="N18" s="6"/>
    </row>
    <row r="19" spans="1:14" ht="27.6">
      <c r="A19" s="6" t="s">
        <v>2526</v>
      </c>
      <c r="B19" s="6" t="s">
        <v>2530</v>
      </c>
      <c r="C19" s="6" t="s">
        <v>2255</v>
      </c>
      <c r="D19" s="6" t="s">
        <v>77</v>
      </c>
      <c r="E19" s="58">
        <v>100</v>
      </c>
      <c r="F19" s="58"/>
      <c r="G19" s="61">
        <v>90</v>
      </c>
      <c r="H19" s="58">
        <f t="shared" ref="H19" si="2">E19*G19</f>
        <v>9000</v>
      </c>
      <c r="I19" s="58"/>
      <c r="J19" s="6"/>
      <c r="K19" s="6"/>
      <c r="L19" s="6"/>
      <c r="M19" s="6"/>
      <c r="N19" s="6"/>
    </row>
    <row r="20" spans="1:14" ht="27.6">
      <c r="A20" s="6" t="s">
        <v>2526</v>
      </c>
      <c r="B20" s="6" t="s">
        <v>2531</v>
      </c>
      <c r="C20" s="6" t="s">
        <v>2451</v>
      </c>
      <c r="D20" s="6" t="s">
        <v>80</v>
      </c>
      <c r="E20" s="58">
        <v>11</v>
      </c>
      <c r="F20" s="58">
        <f>8*4*0.1+70*0.1</f>
        <v>10.199999999999999</v>
      </c>
      <c r="G20" s="58">
        <v>34095</v>
      </c>
      <c r="H20" s="58">
        <f t="shared" si="1"/>
        <v>375045</v>
      </c>
      <c r="I20" s="58">
        <v>511425</v>
      </c>
      <c r="J20" s="6" t="s">
        <v>2097</v>
      </c>
      <c r="K20" s="6" t="s">
        <v>2230</v>
      </c>
      <c r="L20" s="6" t="s">
        <v>2212</v>
      </c>
      <c r="M20" s="6" t="s">
        <v>2213</v>
      </c>
      <c r="N20" s="6"/>
    </row>
    <row r="21" spans="1:14" ht="27.6">
      <c r="A21" s="6" t="s">
        <v>2526</v>
      </c>
      <c r="B21" s="6" t="s">
        <v>2532</v>
      </c>
      <c r="C21" s="6" t="s">
        <v>2453</v>
      </c>
      <c r="D21" s="6" t="s">
        <v>80</v>
      </c>
      <c r="E21" s="58">
        <v>4</v>
      </c>
      <c r="F21" s="58">
        <f>3*4*0.4*0.3+2*0.25*0.25*8</f>
        <v>2.4400000000000004</v>
      </c>
      <c r="G21" s="58">
        <v>35095</v>
      </c>
      <c r="H21" s="58">
        <f t="shared" si="1"/>
        <v>140380</v>
      </c>
      <c r="I21" s="58">
        <v>508015.5</v>
      </c>
      <c r="J21" s="6" t="s">
        <v>2097</v>
      </c>
      <c r="K21" s="6" t="s">
        <v>2230</v>
      </c>
      <c r="L21" s="6" t="s">
        <v>2212</v>
      </c>
      <c r="M21" s="6" t="s">
        <v>2213</v>
      </c>
      <c r="N21" s="6"/>
    </row>
    <row r="22" spans="1:14" ht="27.6">
      <c r="A22" s="6" t="s">
        <v>2526</v>
      </c>
      <c r="B22" s="6" t="s">
        <v>2533</v>
      </c>
      <c r="C22" s="6" t="s">
        <v>2452</v>
      </c>
      <c r="D22" s="6" t="s">
        <v>80</v>
      </c>
      <c r="E22" s="58">
        <v>5</v>
      </c>
      <c r="F22" s="58">
        <f>8*4*0.15</f>
        <v>4.8</v>
      </c>
      <c r="G22" s="58">
        <v>35095</v>
      </c>
      <c r="H22" s="58">
        <f t="shared" si="1"/>
        <v>175475</v>
      </c>
      <c r="I22" s="58">
        <v>531882</v>
      </c>
      <c r="J22" s="6" t="s">
        <v>2097</v>
      </c>
      <c r="K22" s="6" t="s">
        <v>2230</v>
      </c>
      <c r="L22" s="6" t="s">
        <v>2212</v>
      </c>
      <c r="M22" s="6" t="s">
        <v>2213</v>
      </c>
      <c r="N22" s="6"/>
    </row>
    <row r="23" spans="1:14" ht="27.6">
      <c r="A23" s="6" t="s">
        <v>2526</v>
      </c>
      <c r="B23" s="6" t="s">
        <v>2534</v>
      </c>
      <c r="C23" s="6" t="s">
        <v>2231</v>
      </c>
      <c r="D23" s="6" t="s">
        <v>2232</v>
      </c>
      <c r="E23" s="58">
        <v>1000</v>
      </c>
      <c r="F23" s="58"/>
      <c r="G23" s="58">
        <v>32</v>
      </c>
      <c r="H23" s="58">
        <f t="shared" si="1"/>
        <v>32000</v>
      </c>
      <c r="I23" s="58">
        <v>32000</v>
      </c>
      <c r="J23" s="6" t="s">
        <v>2097</v>
      </c>
      <c r="K23" s="6" t="s">
        <v>2233</v>
      </c>
      <c r="L23" s="6" t="s">
        <v>2212</v>
      </c>
      <c r="M23" s="6" t="s">
        <v>2213</v>
      </c>
      <c r="N23" s="6"/>
    </row>
    <row r="24" spans="1:14" ht="27.6">
      <c r="A24" s="6" t="s">
        <v>2526</v>
      </c>
      <c r="B24" s="6" t="s">
        <v>2535</v>
      </c>
      <c r="C24" s="6" t="s">
        <v>2235</v>
      </c>
      <c r="D24" s="6" t="s">
        <v>46</v>
      </c>
      <c r="E24" s="58">
        <v>15</v>
      </c>
      <c r="F24" s="58">
        <f>1.2*4*6*0.3+70*0.05</f>
        <v>12.139999999999999</v>
      </c>
      <c r="G24" s="58">
        <v>1159</v>
      </c>
      <c r="H24" s="58">
        <f t="shared" si="1"/>
        <v>17385</v>
      </c>
      <c r="I24" s="58">
        <v>34770</v>
      </c>
      <c r="J24" s="6" t="s">
        <v>2097</v>
      </c>
      <c r="K24" s="6" t="s">
        <v>2236</v>
      </c>
      <c r="L24" s="6" t="s">
        <v>2212</v>
      </c>
      <c r="M24" s="6" t="s">
        <v>2213</v>
      </c>
      <c r="N24" s="6"/>
    </row>
    <row r="25" spans="1:14" ht="27.6">
      <c r="A25" s="6" t="s">
        <v>2526</v>
      </c>
      <c r="B25" s="6" t="s">
        <v>2536</v>
      </c>
      <c r="C25" s="6" t="s">
        <v>2238</v>
      </c>
      <c r="D25" s="6" t="s">
        <v>46</v>
      </c>
      <c r="E25" s="58">
        <v>30</v>
      </c>
      <c r="F25" s="58">
        <f>6*4*0.3*4</f>
        <v>28.799999999999997</v>
      </c>
      <c r="G25" s="58">
        <v>3328</v>
      </c>
      <c r="H25" s="58">
        <f t="shared" si="1"/>
        <v>99840</v>
      </c>
      <c r="I25" s="58">
        <v>239616</v>
      </c>
      <c r="J25" s="6" t="s">
        <v>2097</v>
      </c>
      <c r="K25" s="6" t="s">
        <v>2239</v>
      </c>
      <c r="L25" s="6" t="s">
        <v>2212</v>
      </c>
      <c r="M25" s="6" t="s">
        <v>2213</v>
      </c>
      <c r="N25" s="6"/>
    </row>
    <row r="26" spans="1:14" ht="27.6">
      <c r="A26" s="6" t="s">
        <v>2526</v>
      </c>
      <c r="B26" s="6" t="s">
        <v>2537</v>
      </c>
      <c r="C26" s="6" t="s">
        <v>2241</v>
      </c>
      <c r="D26" s="6" t="s">
        <v>46</v>
      </c>
      <c r="E26" s="58">
        <v>25</v>
      </c>
      <c r="F26" s="58">
        <f>3*2*4*0.4+2*2*8*0.4</f>
        <v>22.400000000000002</v>
      </c>
      <c r="G26" s="58">
        <v>2047</v>
      </c>
      <c r="H26" s="58">
        <f t="shared" si="1"/>
        <v>51175</v>
      </c>
      <c r="I26" s="58">
        <v>92115</v>
      </c>
      <c r="J26" s="6" t="s">
        <v>2097</v>
      </c>
      <c r="K26" s="6" t="s">
        <v>2242</v>
      </c>
      <c r="L26" s="6" t="s">
        <v>2212</v>
      </c>
      <c r="M26" s="6" t="s">
        <v>2213</v>
      </c>
      <c r="N26" s="6"/>
    </row>
    <row r="27" spans="1:14" ht="27.6">
      <c r="A27" s="6" t="s">
        <v>2526</v>
      </c>
      <c r="B27" s="6" t="s">
        <v>2538</v>
      </c>
      <c r="C27" s="6" t="s">
        <v>2244</v>
      </c>
      <c r="D27" s="6" t="s">
        <v>46</v>
      </c>
      <c r="E27" s="58">
        <v>35</v>
      </c>
      <c r="F27" s="58">
        <f>F26+3*4*0.3+2*8*0.3</f>
        <v>30.8</v>
      </c>
      <c r="G27" s="58">
        <v>3868</v>
      </c>
      <c r="H27" s="58">
        <f t="shared" si="1"/>
        <v>135380</v>
      </c>
      <c r="I27" s="58">
        <v>264571.2</v>
      </c>
      <c r="J27" s="6" t="s">
        <v>2097</v>
      </c>
      <c r="K27" s="6" t="s">
        <v>2245</v>
      </c>
      <c r="L27" s="6" t="s">
        <v>2212</v>
      </c>
      <c r="M27" s="6" t="s">
        <v>2213</v>
      </c>
      <c r="N27" s="6"/>
    </row>
    <row r="28" spans="1:14" ht="27.6">
      <c r="A28" s="6" t="s">
        <v>2526</v>
      </c>
      <c r="B28" s="6" t="s">
        <v>2539</v>
      </c>
      <c r="C28" s="6" t="s">
        <v>2454</v>
      </c>
      <c r="D28" s="6" t="s">
        <v>46</v>
      </c>
      <c r="E28" s="58">
        <v>35</v>
      </c>
      <c r="F28" s="58">
        <f>4*8</f>
        <v>32</v>
      </c>
      <c r="G28" s="58">
        <v>3506</v>
      </c>
      <c r="H28" s="58">
        <f t="shared" si="1"/>
        <v>122710</v>
      </c>
      <c r="I28" s="58">
        <v>417214</v>
      </c>
      <c r="J28" s="6" t="s">
        <v>2097</v>
      </c>
      <c r="K28" s="6" t="s">
        <v>2247</v>
      </c>
      <c r="L28" s="6" t="s">
        <v>2212</v>
      </c>
      <c r="M28" s="6" t="s">
        <v>2213</v>
      </c>
      <c r="N28" s="6"/>
    </row>
    <row r="29" spans="1:14" ht="27.6">
      <c r="A29" s="6" t="s">
        <v>2526</v>
      </c>
      <c r="B29" s="6" t="s">
        <v>2540</v>
      </c>
      <c r="C29" s="6" t="s">
        <v>2455</v>
      </c>
      <c r="D29" s="6" t="s">
        <v>143</v>
      </c>
      <c r="E29" s="58">
        <v>4000</v>
      </c>
      <c r="F29" s="58">
        <f>22*140</f>
        <v>3080</v>
      </c>
      <c r="G29" s="58">
        <v>437</v>
      </c>
      <c r="H29" s="58">
        <f t="shared" si="1"/>
        <v>1748000</v>
      </c>
      <c r="I29" s="58">
        <v>546250</v>
      </c>
      <c r="J29" s="6" t="s">
        <v>2097</v>
      </c>
      <c r="K29" s="6" t="s">
        <v>2249</v>
      </c>
      <c r="L29" s="6" t="s">
        <v>2212</v>
      </c>
      <c r="M29" s="6" t="s">
        <v>2213</v>
      </c>
      <c r="N29" s="6"/>
    </row>
    <row r="30" spans="1:14" ht="27.6">
      <c r="A30" s="6" t="s">
        <v>2526</v>
      </c>
      <c r="B30" s="6" t="s">
        <v>2543</v>
      </c>
      <c r="C30" s="6" t="s">
        <v>2456</v>
      </c>
      <c r="D30" s="6" t="s">
        <v>77</v>
      </c>
      <c r="E30" s="58">
        <v>120</v>
      </c>
      <c r="F30" s="58"/>
      <c r="G30" s="61">
        <v>1485</v>
      </c>
      <c r="H30" s="58">
        <f t="shared" si="1"/>
        <v>178200</v>
      </c>
      <c r="I30" s="58">
        <v>546490.35</v>
      </c>
      <c r="J30" s="6" t="s">
        <v>2097</v>
      </c>
      <c r="K30" s="6" t="s">
        <v>2250</v>
      </c>
      <c r="L30" s="6" t="s">
        <v>2212</v>
      </c>
      <c r="M30" s="6" t="s">
        <v>2213</v>
      </c>
      <c r="N30" s="6"/>
    </row>
    <row r="31" spans="1:14">
      <c r="A31" s="6"/>
      <c r="B31" s="6"/>
      <c r="C31" s="6" t="s">
        <v>2541</v>
      </c>
      <c r="D31" s="6"/>
      <c r="E31" s="58"/>
      <c r="F31" s="58"/>
      <c r="G31" s="61"/>
      <c r="H31" s="58"/>
      <c r="I31" s="58"/>
      <c r="J31" s="6"/>
      <c r="K31" s="6"/>
      <c r="L31" s="6"/>
      <c r="M31" s="6"/>
      <c r="N31" s="6"/>
    </row>
    <row r="32" spans="1:14" ht="27.6">
      <c r="A32" s="6"/>
      <c r="B32" s="6" t="s">
        <v>2542</v>
      </c>
      <c r="C32" s="6" t="s">
        <v>2254</v>
      </c>
      <c r="D32" s="6" t="s">
        <v>77</v>
      </c>
      <c r="E32" s="58">
        <f>100*0.45</f>
        <v>45</v>
      </c>
      <c r="F32" s="58"/>
      <c r="G32" s="61">
        <v>2487</v>
      </c>
      <c r="H32" s="58">
        <f t="shared" si="1"/>
        <v>111915</v>
      </c>
      <c r="I32" s="58"/>
      <c r="J32" s="6"/>
      <c r="K32" s="6"/>
      <c r="L32" s="6"/>
      <c r="M32" s="6"/>
      <c r="N32" s="6"/>
    </row>
    <row r="33" spans="1:14" ht="41.4">
      <c r="A33" s="6"/>
      <c r="B33" s="6" t="s">
        <v>2544</v>
      </c>
      <c r="C33" s="6" t="s">
        <v>2460</v>
      </c>
      <c r="D33" s="6" t="s">
        <v>46</v>
      </c>
      <c r="E33" s="58">
        <v>175</v>
      </c>
      <c r="F33" s="58"/>
      <c r="G33" s="61">
        <v>5890</v>
      </c>
      <c r="H33" s="58">
        <f t="shared" si="1"/>
        <v>1030750</v>
      </c>
      <c r="I33" s="58"/>
      <c r="J33" s="6"/>
      <c r="K33" s="6"/>
      <c r="L33" s="6"/>
      <c r="M33" s="6"/>
      <c r="N33" s="6"/>
    </row>
    <row r="34" spans="1:14" ht="41.4">
      <c r="A34" s="6"/>
      <c r="B34" s="6" t="s">
        <v>2545</v>
      </c>
      <c r="C34" s="6" t="s">
        <v>2461</v>
      </c>
      <c r="D34" s="6" t="s">
        <v>46</v>
      </c>
      <c r="E34" s="58">
        <v>25</v>
      </c>
      <c r="F34" s="58"/>
      <c r="G34" s="58">
        <v>4190</v>
      </c>
      <c r="H34" s="58">
        <f t="shared" si="1"/>
        <v>104750</v>
      </c>
      <c r="I34" s="58">
        <v>1307280</v>
      </c>
      <c r="J34" s="6" t="s">
        <v>2097</v>
      </c>
      <c r="K34" s="6" t="s">
        <v>2252</v>
      </c>
      <c r="L34" s="6" t="s">
        <v>2212</v>
      </c>
      <c r="M34" s="6" t="s">
        <v>2213</v>
      </c>
      <c r="N34" s="6"/>
    </row>
    <row r="35" spans="1:14">
      <c r="A35" s="6"/>
      <c r="B35" s="6"/>
      <c r="C35" s="6" t="s">
        <v>2548</v>
      </c>
      <c r="D35" s="6"/>
      <c r="E35" s="58"/>
      <c r="F35" s="58"/>
      <c r="G35" s="58"/>
      <c r="H35" s="58"/>
      <c r="I35" s="58"/>
      <c r="J35" s="6"/>
      <c r="K35" s="6"/>
      <c r="L35" s="6"/>
      <c r="M35" s="6"/>
      <c r="N35" s="6"/>
    </row>
    <row r="36" spans="1:14" ht="138">
      <c r="A36" s="6"/>
      <c r="B36" s="6" t="s">
        <v>2546</v>
      </c>
      <c r="C36" s="56" t="s">
        <v>2458</v>
      </c>
      <c r="D36" s="6" t="s">
        <v>77</v>
      </c>
      <c r="E36" s="58">
        <v>20</v>
      </c>
      <c r="F36" s="58"/>
      <c r="G36" s="58">
        <v>5587</v>
      </c>
      <c r="H36" s="58">
        <f t="shared" si="1"/>
        <v>111740</v>
      </c>
      <c r="I36" s="58"/>
      <c r="J36" s="6"/>
      <c r="K36" s="6"/>
      <c r="L36" s="6"/>
      <c r="M36" s="6"/>
      <c r="N36" s="6"/>
    </row>
    <row r="37" spans="1:14" ht="110.4">
      <c r="A37" s="6"/>
      <c r="B37" s="6" t="s">
        <v>2547</v>
      </c>
      <c r="C37" s="6" t="s">
        <v>2459</v>
      </c>
      <c r="D37" s="6" t="s">
        <v>77</v>
      </c>
      <c r="E37" s="58">
        <v>40</v>
      </c>
      <c r="F37" s="58"/>
      <c r="G37" s="58">
        <v>6135</v>
      </c>
      <c r="H37" s="58">
        <f t="shared" si="1"/>
        <v>245400</v>
      </c>
      <c r="I37" s="58"/>
      <c r="J37" s="6"/>
      <c r="K37" s="6"/>
      <c r="L37" s="6"/>
      <c r="M37" s="6"/>
      <c r="N37" s="6"/>
    </row>
    <row r="38" spans="1:14">
      <c r="A38" s="6"/>
      <c r="B38" s="6"/>
      <c r="C38" s="6" t="s">
        <v>2550</v>
      </c>
      <c r="D38" s="6"/>
      <c r="E38" s="58"/>
      <c r="F38" s="58"/>
      <c r="G38" s="58"/>
      <c r="H38" s="58"/>
      <c r="I38" s="58"/>
      <c r="J38" s="6"/>
      <c r="K38" s="6"/>
      <c r="L38" s="6"/>
      <c r="M38" s="6"/>
      <c r="N38" s="6"/>
    </row>
    <row r="39" spans="1:14" ht="69">
      <c r="A39" s="6"/>
      <c r="B39" s="6" t="s">
        <v>2549</v>
      </c>
      <c r="C39" s="6" t="s">
        <v>2463</v>
      </c>
      <c r="D39" s="6" t="s">
        <v>77</v>
      </c>
      <c r="E39" s="58">
        <v>50</v>
      </c>
      <c r="F39" s="58"/>
      <c r="G39" s="58">
        <v>1550</v>
      </c>
      <c r="H39" s="58">
        <f t="shared" si="1"/>
        <v>77500</v>
      </c>
      <c r="I39" s="58"/>
      <c r="J39" s="6"/>
      <c r="K39" s="6"/>
      <c r="L39" s="6"/>
      <c r="M39" s="6"/>
      <c r="N39" s="6"/>
    </row>
    <row r="40" spans="1:14" ht="41.4">
      <c r="A40" s="6"/>
      <c r="B40" s="6" t="s">
        <v>2551</v>
      </c>
      <c r="C40" s="6" t="s">
        <v>2256</v>
      </c>
      <c r="D40" s="6" t="s">
        <v>46</v>
      </c>
      <c r="E40" s="58">
        <v>100</v>
      </c>
      <c r="F40" s="58"/>
      <c r="G40" s="58">
        <v>6299</v>
      </c>
      <c r="H40" s="58">
        <f t="shared" si="1"/>
        <v>629900</v>
      </c>
      <c r="I40" s="58">
        <v>503920</v>
      </c>
      <c r="J40" s="6" t="s">
        <v>2097</v>
      </c>
      <c r="K40" s="6"/>
      <c r="L40" s="6" t="s">
        <v>2212</v>
      </c>
      <c r="M40" s="6" t="s">
        <v>2213</v>
      </c>
      <c r="N40" s="6"/>
    </row>
    <row r="41" spans="1:14" ht="41.4">
      <c r="A41" s="6"/>
      <c r="B41" s="6" t="s">
        <v>2552</v>
      </c>
      <c r="C41" s="6" t="s">
        <v>2257</v>
      </c>
      <c r="D41" s="6" t="s">
        <v>46</v>
      </c>
      <c r="E41" s="58">
        <v>20</v>
      </c>
      <c r="F41" s="58"/>
      <c r="G41" s="58">
        <v>6300</v>
      </c>
      <c r="H41" s="58">
        <f t="shared" si="1"/>
        <v>126000</v>
      </c>
      <c r="I41" s="58">
        <v>75600</v>
      </c>
      <c r="J41" s="6" t="s">
        <v>2097</v>
      </c>
      <c r="K41" s="6"/>
      <c r="L41" s="6" t="s">
        <v>2212</v>
      </c>
      <c r="M41" s="6" t="s">
        <v>2213</v>
      </c>
      <c r="N41" s="6"/>
    </row>
    <row r="42" spans="1:14">
      <c r="A42" s="6"/>
      <c r="B42" s="6"/>
      <c r="C42" s="6" t="s">
        <v>2553</v>
      </c>
      <c r="D42" s="6"/>
      <c r="E42" s="58"/>
      <c r="F42" s="58"/>
      <c r="G42" s="58"/>
      <c r="H42" s="58"/>
      <c r="I42" s="58"/>
      <c r="J42" s="6"/>
      <c r="K42" s="6"/>
      <c r="L42" s="6"/>
      <c r="M42" s="6"/>
      <c r="N42" s="6"/>
    </row>
    <row r="43" spans="1:14" ht="55.2">
      <c r="A43" s="6"/>
      <c r="B43" s="6" t="s">
        <v>2554</v>
      </c>
      <c r="C43" s="6" t="s">
        <v>2258</v>
      </c>
      <c r="D43" s="6" t="s">
        <v>46</v>
      </c>
      <c r="E43" s="58">
        <v>75</v>
      </c>
      <c r="F43" s="58"/>
      <c r="G43" s="58">
        <v>6900</v>
      </c>
      <c r="H43" s="58">
        <f t="shared" si="1"/>
        <v>517500</v>
      </c>
      <c r="I43" s="58">
        <v>345000</v>
      </c>
      <c r="J43" s="6" t="s">
        <v>2097</v>
      </c>
      <c r="K43" s="6"/>
      <c r="L43" s="6" t="s">
        <v>2212</v>
      </c>
      <c r="M43" s="6" t="s">
        <v>2213</v>
      </c>
      <c r="N43" s="6"/>
    </row>
    <row r="44" spans="1:14" ht="27.6">
      <c r="A44" s="6"/>
      <c r="B44" s="6" t="s">
        <v>2555</v>
      </c>
      <c r="C44" s="6" t="s">
        <v>199</v>
      </c>
      <c r="D44" s="6" t="s">
        <v>77</v>
      </c>
      <c r="E44" s="58">
        <v>400</v>
      </c>
      <c r="F44" s="58"/>
      <c r="G44" s="58">
        <v>1550</v>
      </c>
      <c r="H44" s="58">
        <f t="shared" si="1"/>
        <v>620000</v>
      </c>
      <c r="I44" s="58"/>
      <c r="J44" s="6"/>
      <c r="K44" s="6"/>
      <c r="L44" s="6"/>
      <c r="M44" s="6"/>
      <c r="N44" s="6"/>
    </row>
    <row r="45" spans="1:14">
      <c r="A45" s="6"/>
      <c r="B45" s="6"/>
      <c r="C45" s="6" t="s">
        <v>2556</v>
      </c>
      <c r="D45" s="6"/>
      <c r="E45" s="58"/>
      <c r="F45" s="58"/>
      <c r="G45" s="58"/>
      <c r="H45" s="58"/>
      <c r="I45" s="58"/>
      <c r="J45" s="6"/>
      <c r="K45" s="6"/>
      <c r="L45" s="6"/>
      <c r="M45" s="6"/>
      <c r="N45" s="6"/>
    </row>
    <row r="46" spans="1:14" ht="27.6">
      <c r="A46" s="6"/>
      <c r="B46" s="6" t="s">
        <v>2557</v>
      </c>
      <c r="C46" s="6" t="s">
        <v>2464</v>
      </c>
      <c r="D46" s="6" t="s">
        <v>77</v>
      </c>
      <c r="E46" s="58">
        <v>300</v>
      </c>
      <c r="F46" s="58"/>
      <c r="G46" s="58">
        <v>750</v>
      </c>
      <c r="H46" s="58">
        <f t="shared" si="1"/>
        <v>225000</v>
      </c>
      <c r="I46" s="58"/>
      <c r="J46" s="6"/>
      <c r="K46" s="6"/>
      <c r="L46" s="6"/>
      <c r="M46" s="6"/>
      <c r="N46" s="6"/>
    </row>
    <row r="47" spans="1:14" ht="27.6">
      <c r="A47" s="6"/>
      <c r="B47" s="6" t="s">
        <v>2558</v>
      </c>
      <c r="C47" s="6" t="s">
        <v>2260</v>
      </c>
      <c r="D47" s="6" t="s">
        <v>77</v>
      </c>
      <c r="E47" s="58">
        <v>150</v>
      </c>
      <c r="F47" s="58"/>
      <c r="G47" s="58">
        <v>935</v>
      </c>
      <c r="H47" s="58">
        <f t="shared" si="1"/>
        <v>140250</v>
      </c>
      <c r="I47" s="58"/>
      <c r="J47" s="6"/>
      <c r="K47" s="6"/>
      <c r="L47" s="6"/>
      <c r="M47" s="6"/>
      <c r="N47" s="6"/>
    </row>
    <row r="48" spans="1:14" ht="27.6">
      <c r="A48" s="6"/>
      <c r="B48" s="6" t="s">
        <v>2559</v>
      </c>
      <c r="C48" s="6" t="s">
        <v>2259</v>
      </c>
      <c r="D48" s="6" t="s">
        <v>46</v>
      </c>
      <c r="E48" s="58">
        <v>35</v>
      </c>
      <c r="F48" s="58"/>
      <c r="G48" s="58">
        <v>850</v>
      </c>
      <c r="H48" s="58">
        <f t="shared" si="1"/>
        <v>29750</v>
      </c>
      <c r="I48" s="58">
        <v>340000</v>
      </c>
      <c r="J48" s="6" t="s">
        <v>2097</v>
      </c>
      <c r="K48" s="6" t="s">
        <v>2253</v>
      </c>
      <c r="L48" s="6" t="s">
        <v>2212</v>
      </c>
      <c r="M48" s="6" t="s">
        <v>2213</v>
      </c>
      <c r="N48" s="6"/>
    </row>
    <row r="49" spans="1:14">
      <c r="A49" s="6"/>
      <c r="B49" s="6" t="s">
        <v>170</v>
      </c>
      <c r="C49" s="9" t="s">
        <v>2462</v>
      </c>
      <c r="D49" s="6"/>
      <c r="E49" s="58"/>
      <c r="F49" s="58"/>
      <c r="G49" s="58"/>
      <c r="H49" s="58"/>
      <c r="I49" s="58"/>
      <c r="J49" s="6"/>
      <c r="K49" s="6"/>
      <c r="L49" s="6"/>
      <c r="M49" s="6"/>
      <c r="N49" s="6"/>
    </row>
    <row r="50" spans="1:14" ht="27.6">
      <c r="A50" s="6"/>
      <c r="B50" s="6" t="s">
        <v>2560</v>
      </c>
      <c r="C50" s="6" t="s">
        <v>2262</v>
      </c>
      <c r="D50" s="6" t="s">
        <v>103</v>
      </c>
      <c r="E50" s="58">
        <v>265</v>
      </c>
      <c r="F50" s="58"/>
      <c r="G50" s="58">
        <v>3650</v>
      </c>
      <c r="H50" s="58">
        <f>E50*G50</f>
        <v>967250</v>
      </c>
      <c r="I50" s="58">
        <v>967250</v>
      </c>
      <c r="J50" s="6" t="s">
        <v>2263</v>
      </c>
      <c r="K50" s="6" t="s">
        <v>2264</v>
      </c>
      <c r="L50" s="6" t="s">
        <v>2265</v>
      </c>
      <c r="M50" s="6" t="s">
        <v>2266</v>
      </c>
      <c r="N50" s="6" t="s">
        <v>2267</v>
      </c>
    </row>
    <row r="51" spans="1:14" ht="27.6">
      <c r="A51" s="6"/>
      <c r="B51" s="6" t="s">
        <v>2561</v>
      </c>
      <c r="C51" s="6" t="s">
        <v>2268</v>
      </c>
      <c r="D51" s="6" t="s">
        <v>103</v>
      </c>
      <c r="E51" s="58">
        <v>294</v>
      </c>
      <c r="F51" s="58"/>
      <c r="G51" s="58">
        <v>2730</v>
      </c>
      <c r="H51" s="58">
        <f t="shared" ref="H51:H64" si="3">E51*G51</f>
        <v>802620</v>
      </c>
      <c r="I51" s="58">
        <v>884520</v>
      </c>
      <c r="J51" s="6" t="s">
        <v>2263</v>
      </c>
      <c r="K51" s="6" t="s">
        <v>2264</v>
      </c>
      <c r="L51" s="6" t="s">
        <v>2265</v>
      </c>
      <c r="M51" s="6" t="s">
        <v>2266</v>
      </c>
      <c r="N51" s="6" t="s">
        <v>2269</v>
      </c>
    </row>
    <row r="52" spans="1:14" ht="27.6">
      <c r="A52" s="6"/>
      <c r="B52" s="6" t="s">
        <v>2562</v>
      </c>
      <c r="C52" s="6" t="s">
        <v>2270</v>
      </c>
      <c r="D52" s="6" t="s">
        <v>619</v>
      </c>
      <c r="E52" s="58">
        <v>1</v>
      </c>
      <c r="F52" s="58"/>
      <c r="G52" s="58">
        <v>120000</v>
      </c>
      <c r="H52" s="58">
        <f t="shared" si="3"/>
        <v>120000</v>
      </c>
      <c r="I52" s="58">
        <v>120000</v>
      </c>
      <c r="J52" s="6" t="s">
        <v>2097</v>
      </c>
      <c r="K52" s="6" t="s">
        <v>2264</v>
      </c>
      <c r="L52" s="6" t="s">
        <v>2265</v>
      </c>
      <c r="M52" s="6" t="s">
        <v>2266</v>
      </c>
      <c r="N52" s="6"/>
    </row>
    <row r="53" spans="1:14" ht="27.6">
      <c r="A53" s="6"/>
      <c r="B53" s="6" t="s">
        <v>2563</v>
      </c>
      <c r="C53" s="6" t="s">
        <v>2271</v>
      </c>
      <c r="D53" s="6" t="s">
        <v>46</v>
      </c>
      <c r="E53" s="58">
        <v>272</v>
      </c>
      <c r="F53" s="58">
        <f>E53/4</f>
        <v>68</v>
      </c>
      <c r="G53" s="58">
        <v>16500</v>
      </c>
      <c r="H53" s="58">
        <f t="shared" si="3"/>
        <v>4488000</v>
      </c>
      <c r="I53" s="58">
        <v>4488000</v>
      </c>
      <c r="J53" s="6" t="s">
        <v>2263</v>
      </c>
      <c r="K53" s="6" t="s">
        <v>2264</v>
      </c>
      <c r="L53" s="6" t="s">
        <v>2265</v>
      </c>
      <c r="M53" s="6" t="s">
        <v>2266</v>
      </c>
      <c r="N53" s="6" t="s">
        <v>2272</v>
      </c>
    </row>
    <row r="54" spans="1:14" ht="27.6">
      <c r="A54" s="6"/>
      <c r="B54" s="6" t="s">
        <v>2564</v>
      </c>
      <c r="C54" s="6" t="s">
        <v>2273</v>
      </c>
      <c r="D54" s="6" t="s">
        <v>103</v>
      </c>
      <c r="E54" s="58">
        <v>50</v>
      </c>
      <c r="F54" s="58"/>
      <c r="G54" s="58">
        <v>2370</v>
      </c>
      <c r="H54" s="58">
        <f t="shared" si="3"/>
        <v>118500</v>
      </c>
      <c r="I54" s="58">
        <v>118500</v>
      </c>
      <c r="J54" s="6" t="s">
        <v>2263</v>
      </c>
      <c r="K54" s="6" t="s">
        <v>2264</v>
      </c>
      <c r="L54" s="6" t="s">
        <v>2265</v>
      </c>
      <c r="M54" s="6" t="s">
        <v>2266</v>
      </c>
      <c r="N54" s="6" t="s">
        <v>2274</v>
      </c>
    </row>
    <row r="55" spans="1:14" ht="27.6">
      <c r="A55" s="6"/>
      <c r="B55" s="6" t="s">
        <v>2565</v>
      </c>
      <c r="C55" s="6" t="s">
        <v>2275</v>
      </c>
      <c r="D55" s="6" t="s">
        <v>103</v>
      </c>
      <c r="E55" s="58">
        <v>26</v>
      </c>
      <c r="F55" s="58"/>
      <c r="G55" s="58">
        <v>2220</v>
      </c>
      <c r="H55" s="58">
        <f t="shared" si="3"/>
        <v>57720</v>
      </c>
      <c r="I55" s="58">
        <v>57720</v>
      </c>
      <c r="J55" s="6" t="s">
        <v>2263</v>
      </c>
      <c r="K55" s="6" t="s">
        <v>2264</v>
      </c>
      <c r="L55" s="6" t="s">
        <v>2265</v>
      </c>
      <c r="M55" s="6" t="s">
        <v>2266</v>
      </c>
      <c r="N55" s="6" t="s">
        <v>2276</v>
      </c>
    </row>
    <row r="56" spans="1:14" ht="27.6">
      <c r="A56" s="6"/>
      <c r="B56" s="6" t="s">
        <v>2566</v>
      </c>
      <c r="C56" s="6" t="s">
        <v>2277</v>
      </c>
      <c r="D56" s="6" t="s">
        <v>103</v>
      </c>
      <c r="E56" s="58">
        <v>60</v>
      </c>
      <c r="F56" s="58"/>
      <c r="G56" s="58">
        <v>2650</v>
      </c>
      <c r="H56" s="58">
        <f t="shared" si="3"/>
        <v>159000</v>
      </c>
      <c r="I56" s="58">
        <v>145750</v>
      </c>
      <c r="J56" s="6" t="s">
        <v>2263</v>
      </c>
      <c r="K56" s="6" t="s">
        <v>2264</v>
      </c>
      <c r="L56" s="6" t="s">
        <v>2265</v>
      </c>
      <c r="M56" s="6" t="s">
        <v>2266</v>
      </c>
      <c r="N56" s="6" t="s">
        <v>2278</v>
      </c>
    </row>
    <row r="57" spans="1:14" ht="27.6">
      <c r="A57" s="6"/>
      <c r="B57" s="6" t="s">
        <v>2567</v>
      </c>
      <c r="C57" s="6" t="s">
        <v>2279</v>
      </c>
      <c r="D57" s="6" t="s">
        <v>2280</v>
      </c>
      <c r="E57" s="58">
        <v>12</v>
      </c>
      <c r="F57" s="58"/>
      <c r="G57" s="58">
        <v>1630</v>
      </c>
      <c r="H57" s="58">
        <f t="shared" si="3"/>
        <v>19560</v>
      </c>
      <c r="I57" s="58">
        <v>19560</v>
      </c>
      <c r="J57" s="6" t="s">
        <v>2263</v>
      </c>
      <c r="K57" s="6" t="s">
        <v>2264</v>
      </c>
      <c r="L57" s="6" t="s">
        <v>2265</v>
      </c>
      <c r="M57" s="6" t="s">
        <v>2266</v>
      </c>
      <c r="N57" s="6" t="s">
        <v>2281</v>
      </c>
    </row>
    <row r="58" spans="1:14" ht="27.6">
      <c r="A58" s="6"/>
      <c r="B58" s="6" t="s">
        <v>2494</v>
      </c>
      <c r="C58" s="6" t="s">
        <v>2282</v>
      </c>
      <c r="D58" s="6" t="s">
        <v>2280</v>
      </c>
      <c r="E58" s="58">
        <v>8</v>
      </c>
      <c r="F58" s="58"/>
      <c r="G58" s="58">
        <v>3580</v>
      </c>
      <c r="H58" s="58">
        <f t="shared" si="3"/>
        <v>28640</v>
      </c>
      <c r="I58" s="58">
        <v>19560</v>
      </c>
      <c r="J58" s="6" t="s">
        <v>2263</v>
      </c>
      <c r="K58" s="6" t="s">
        <v>2264</v>
      </c>
      <c r="L58" s="6" t="s">
        <v>2265</v>
      </c>
      <c r="M58" s="6" t="s">
        <v>2266</v>
      </c>
      <c r="N58" s="6" t="s">
        <v>2283</v>
      </c>
    </row>
    <row r="59" spans="1:14" ht="27.6">
      <c r="A59" s="6"/>
      <c r="B59" s="6" t="s">
        <v>2568</v>
      </c>
      <c r="C59" s="6" t="s">
        <v>2284</v>
      </c>
      <c r="D59" s="6" t="s">
        <v>103</v>
      </c>
      <c r="E59" s="58">
        <v>36</v>
      </c>
      <c r="F59" s="58"/>
      <c r="G59" s="58">
        <v>2090</v>
      </c>
      <c r="H59" s="58">
        <f t="shared" si="3"/>
        <v>75240</v>
      </c>
      <c r="I59" s="58">
        <v>19560</v>
      </c>
      <c r="J59" s="6" t="s">
        <v>2263</v>
      </c>
      <c r="K59" s="6" t="s">
        <v>2264</v>
      </c>
      <c r="L59" s="6" t="s">
        <v>2265</v>
      </c>
      <c r="M59" s="6" t="s">
        <v>2266</v>
      </c>
      <c r="N59" s="6" t="s">
        <v>2285</v>
      </c>
    </row>
    <row r="60" spans="1:14" ht="27.6">
      <c r="A60" s="6"/>
      <c r="B60" s="6" t="s">
        <v>2569</v>
      </c>
      <c r="C60" s="6" t="s">
        <v>2286</v>
      </c>
      <c r="D60" s="6" t="s">
        <v>2280</v>
      </c>
      <c r="E60" s="58">
        <v>4</v>
      </c>
      <c r="F60" s="58"/>
      <c r="G60" s="58">
        <v>12500</v>
      </c>
      <c r="H60" s="58">
        <f t="shared" si="3"/>
        <v>50000</v>
      </c>
      <c r="I60" s="58">
        <v>19560</v>
      </c>
      <c r="J60" s="6" t="s">
        <v>2263</v>
      </c>
      <c r="K60" s="6" t="s">
        <v>2264</v>
      </c>
      <c r="L60" s="6" t="s">
        <v>2265</v>
      </c>
      <c r="M60" s="6" t="s">
        <v>2266</v>
      </c>
      <c r="N60" s="6" t="s">
        <v>2287</v>
      </c>
    </row>
    <row r="61" spans="1:14" ht="27.6">
      <c r="A61" s="6"/>
      <c r="B61" s="6" t="s">
        <v>2570</v>
      </c>
      <c r="C61" s="6" t="s">
        <v>2288</v>
      </c>
      <c r="D61" s="6" t="s">
        <v>619</v>
      </c>
      <c r="E61" s="58">
        <v>1</v>
      </c>
      <c r="F61" s="58"/>
      <c r="G61" s="58">
        <v>25000</v>
      </c>
      <c r="H61" s="58">
        <f t="shared" si="3"/>
        <v>25000</v>
      </c>
      <c r="I61" s="58">
        <v>19560</v>
      </c>
      <c r="J61" s="6" t="s">
        <v>2097</v>
      </c>
      <c r="K61" s="6" t="s">
        <v>2264</v>
      </c>
      <c r="L61" s="6" t="s">
        <v>2265</v>
      </c>
      <c r="M61" s="6" t="s">
        <v>2266</v>
      </c>
      <c r="N61" s="6"/>
    </row>
    <row r="62" spans="1:14">
      <c r="A62" s="6"/>
      <c r="B62" s="6"/>
      <c r="C62" s="6" t="s">
        <v>2571</v>
      </c>
      <c r="D62" s="6"/>
      <c r="E62" s="58"/>
      <c r="F62" s="58"/>
      <c r="G62" s="58"/>
      <c r="H62" s="58"/>
      <c r="I62" s="58"/>
      <c r="J62" s="6"/>
      <c r="K62" s="6"/>
      <c r="L62" s="6"/>
      <c r="M62" s="6"/>
      <c r="N62" s="6"/>
    </row>
    <row r="63" spans="1:14" ht="27.6">
      <c r="A63" s="6"/>
      <c r="B63" s="6" t="s">
        <v>2572</v>
      </c>
      <c r="C63" s="6" t="s">
        <v>2289</v>
      </c>
      <c r="D63" s="6" t="s">
        <v>619</v>
      </c>
      <c r="E63" s="58">
        <v>1</v>
      </c>
      <c r="F63" s="58"/>
      <c r="G63" s="58">
        <v>50000</v>
      </c>
      <c r="H63" s="58">
        <f t="shared" si="3"/>
        <v>50000</v>
      </c>
      <c r="I63" s="58">
        <v>19560</v>
      </c>
      <c r="J63" s="6" t="s">
        <v>2097</v>
      </c>
      <c r="K63" s="6" t="s">
        <v>2264</v>
      </c>
      <c r="L63" s="6" t="s">
        <v>2265</v>
      </c>
      <c r="M63" s="6" t="s">
        <v>2266</v>
      </c>
      <c r="N63" s="6"/>
    </row>
    <row r="64" spans="1:14" ht="27.6">
      <c r="A64" s="6"/>
      <c r="B64" s="6" t="s">
        <v>2573</v>
      </c>
      <c r="C64" s="6" t="s">
        <v>2290</v>
      </c>
      <c r="D64" s="6" t="s">
        <v>619</v>
      </c>
      <c r="E64" s="58">
        <v>1</v>
      </c>
      <c r="F64" s="58"/>
      <c r="G64" s="58">
        <v>20000</v>
      </c>
      <c r="H64" s="58">
        <f t="shared" si="3"/>
        <v>20000</v>
      </c>
      <c r="I64" s="58">
        <v>19560</v>
      </c>
      <c r="J64" s="6" t="s">
        <v>2097</v>
      </c>
      <c r="K64" s="6" t="s">
        <v>2264</v>
      </c>
      <c r="L64" s="6" t="s">
        <v>2265</v>
      </c>
      <c r="M64" s="6" t="s">
        <v>2266</v>
      </c>
      <c r="N64" s="6"/>
    </row>
    <row r="65" spans="1:14">
      <c r="A65" s="6"/>
      <c r="B65" s="6"/>
      <c r="C65" s="6"/>
      <c r="D65" s="6"/>
      <c r="E65" s="6"/>
      <c r="F65" s="6"/>
      <c r="G65" s="6"/>
      <c r="H65" s="59">
        <f>SUM(H5:H64)</f>
        <v>15503821</v>
      </c>
      <c r="I65" s="58"/>
      <c r="J65" s="6"/>
      <c r="K65" s="6"/>
      <c r="L65" s="6"/>
      <c r="M65" s="6"/>
      <c r="N65" s="6"/>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topLeftCell="A19" workbookViewId="0">
      <selection sqref="A1:XFD36"/>
    </sheetView>
  </sheetViews>
  <sheetFormatPr defaultRowHeight="13.8"/>
  <cols>
    <col min="1" max="1" width="9" customWidth="1"/>
    <col min="2" max="2" width="40" customWidth="1"/>
    <col min="3" max="3" width="10" customWidth="1"/>
    <col min="4" max="4" width="16" customWidth="1"/>
    <col min="5" max="5" width="42" customWidth="1"/>
    <col min="6" max="6" width="34" customWidth="1"/>
    <col min="7" max="7" width="38" customWidth="1"/>
  </cols>
  <sheetData>
    <row r="1" spans="1:7" ht="17.399999999999999">
      <c r="A1" s="106" t="s">
        <v>366</v>
      </c>
      <c r="B1" s="106"/>
      <c r="C1" s="106"/>
      <c r="D1" s="106"/>
      <c r="E1" s="106"/>
      <c r="F1" s="106"/>
      <c r="G1" s="106"/>
    </row>
    <row r="3" spans="1:7" ht="27.6">
      <c r="A3" s="1" t="s">
        <v>367</v>
      </c>
      <c r="B3" s="1" t="s">
        <v>368</v>
      </c>
      <c r="C3" s="1" t="s">
        <v>8</v>
      </c>
      <c r="D3" s="1" t="s">
        <v>369</v>
      </c>
      <c r="E3" s="1" t="s">
        <v>370</v>
      </c>
      <c r="F3" s="1" t="s">
        <v>371</v>
      </c>
      <c r="G3" s="1" t="s">
        <v>372</v>
      </c>
    </row>
    <row r="4" spans="1:7" ht="27.6">
      <c r="A4" s="2" t="s">
        <v>373</v>
      </c>
      <c r="B4" s="2" t="s">
        <v>374</v>
      </c>
      <c r="C4" s="2" t="s">
        <v>46</v>
      </c>
      <c r="D4" s="3">
        <v>43.402999999999999</v>
      </c>
      <c r="E4" s="2" t="s">
        <v>375</v>
      </c>
      <c r="F4" s="2" t="s">
        <v>376</v>
      </c>
      <c r="G4" s="2" t="s">
        <v>377</v>
      </c>
    </row>
    <row r="5" spans="1:7" ht="27.6">
      <c r="A5" s="2" t="s">
        <v>378</v>
      </c>
      <c r="B5" s="2" t="s">
        <v>379</v>
      </c>
      <c r="C5" s="2" t="s">
        <v>46</v>
      </c>
      <c r="D5" s="3">
        <v>31.573</v>
      </c>
      <c r="E5" s="2" t="s">
        <v>380</v>
      </c>
      <c r="F5" s="2" t="s">
        <v>376</v>
      </c>
      <c r="G5" s="2" t="s">
        <v>377</v>
      </c>
    </row>
    <row r="6" spans="1:7" ht="27.6">
      <c r="A6" s="2" t="s">
        <v>381</v>
      </c>
      <c r="B6" s="2" t="s">
        <v>382</v>
      </c>
      <c r="C6" s="2" t="s">
        <v>46</v>
      </c>
      <c r="D6" s="3">
        <v>61.514000000000003</v>
      </c>
      <c r="E6" s="2" t="s">
        <v>383</v>
      </c>
      <c r="F6" s="2" t="s">
        <v>376</v>
      </c>
      <c r="G6" s="2" t="s">
        <v>377</v>
      </c>
    </row>
    <row r="7" spans="1:7" ht="27.6">
      <c r="A7" s="2" t="s">
        <v>384</v>
      </c>
      <c r="B7" s="2" t="s">
        <v>385</v>
      </c>
      <c r="C7" s="2" t="s">
        <v>46</v>
      </c>
      <c r="D7" s="3">
        <v>51.417000000000002</v>
      </c>
      <c r="E7" s="2" t="s">
        <v>386</v>
      </c>
      <c r="F7" s="2" t="s">
        <v>376</v>
      </c>
      <c r="G7" s="2" t="s">
        <v>377</v>
      </c>
    </row>
    <row r="8" spans="1:7">
      <c r="A8" s="2" t="s">
        <v>387</v>
      </c>
      <c r="B8" s="2" t="s">
        <v>388</v>
      </c>
      <c r="C8" s="2" t="s">
        <v>46</v>
      </c>
      <c r="D8" s="3">
        <v>187.90799999999999</v>
      </c>
      <c r="E8" s="2" t="s">
        <v>389</v>
      </c>
      <c r="F8" s="2" t="s">
        <v>390</v>
      </c>
      <c r="G8" s="2" t="s">
        <v>391</v>
      </c>
    </row>
    <row r="9" spans="1:7">
      <c r="A9" s="2" t="s">
        <v>392</v>
      </c>
      <c r="B9" s="2" t="s">
        <v>393</v>
      </c>
      <c r="C9" s="2" t="s">
        <v>46</v>
      </c>
      <c r="D9" s="3">
        <v>32.081000000000003</v>
      </c>
      <c r="E9" s="2" t="s">
        <v>394</v>
      </c>
      <c r="F9" s="2" t="s">
        <v>390</v>
      </c>
      <c r="G9" s="2" t="s">
        <v>391</v>
      </c>
    </row>
    <row r="10" spans="1:7" ht="27.6">
      <c r="A10" s="2" t="s">
        <v>395</v>
      </c>
      <c r="B10" s="2" t="s">
        <v>396</v>
      </c>
      <c r="C10" s="2" t="s">
        <v>46</v>
      </c>
      <c r="D10" s="3">
        <v>219.989</v>
      </c>
      <c r="E10" s="2" t="s">
        <v>397</v>
      </c>
      <c r="F10" s="2" t="s">
        <v>398</v>
      </c>
      <c r="G10" s="2" t="s">
        <v>399</v>
      </c>
    </row>
    <row r="11" spans="1:7">
      <c r="A11" s="2" t="s">
        <v>400</v>
      </c>
      <c r="B11" s="2" t="s">
        <v>401</v>
      </c>
      <c r="C11" s="2" t="s">
        <v>46</v>
      </c>
      <c r="D11" s="3">
        <v>1050</v>
      </c>
      <c r="E11" s="2" t="s">
        <v>402</v>
      </c>
      <c r="F11" s="2" t="s">
        <v>403</v>
      </c>
      <c r="G11" s="2" t="s">
        <v>404</v>
      </c>
    </row>
    <row r="12" spans="1:7">
      <c r="A12" s="2" t="s">
        <v>405</v>
      </c>
      <c r="B12" s="2" t="s">
        <v>406</v>
      </c>
      <c r="C12" s="2" t="s">
        <v>46</v>
      </c>
      <c r="D12" s="3">
        <v>830</v>
      </c>
      <c r="E12" s="2" t="s">
        <v>407</v>
      </c>
      <c r="F12" s="2" t="s">
        <v>408</v>
      </c>
      <c r="G12" s="2" t="s">
        <v>409</v>
      </c>
    </row>
    <row r="13" spans="1:7" ht="27.6">
      <c r="A13" s="2" t="s">
        <v>410</v>
      </c>
      <c r="B13" s="2" t="s">
        <v>411</v>
      </c>
      <c r="C13" s="2" t="s">
        <v>46</v>
      </c>
      <c r="D13" s="3">
        <v>980</v>
      </c>
      <c r="E13" s="2" t="s">
        <v>412</v>
      </c>
      <c r="F13" s="2" t="s">
        <v>413</v>
      </c>
      <c r="G13" s="2" t="s">
        <v>414</v>
      </c>
    </row>
    <row r="14" spans="1:7">
      <c r="A14" s="2" t="s">
        <v>415</v>
      </c>
      <c r="B14" s="2" t="s">
        <v>416</v>
      </c>
      <c r="C14" s="2" t="s">
        <v>46</v>
      </c>
      <c r="D14" s="3">
        <v>900</v>
      </c>
      <c r="E14" s="2" t="s">
        <v>417</v>
      </c>
      <c r="F14" s="2" t="s">
        <v>418</v>
      </c>
      <c r="G14" s="2" t="s">
        <v>419</v>
      </c>
    </row>
    <row r="15" spans="1:7">
      <c r="A15" s="2" t="s">
        <v>420</v>
      </c>
      <c r="B15" s="2" t="s">
        <v>421</v>
      </c>
      <c r="C15" s="2" t="s">
        <v>46</v>
      </c>
      <c r="D15" s="3">
        <v>400</v>
      </c>
      <c r="E15" s="2" t="s">
        <v>422</v>
      </c>
      <c r="F15" s="2" t="s">
        <v>423</v>
      </c>
      <c r="G15" s="2" t="s">
        <v>424</v>
      </c>
    </row>
    <row r="16" spans="1:7">
      <c r="A16" s="2" t="s">
        <v>425</v>
      </c>
      <c r="B16" s="2" t="s">
        <v>426</v>
      </c>
      <c r="C16" s="2" t="s">
        <v>46</v>
      </c>
      <c r="D16" s="3">
        <v>80</v>
      </c>
      <c r="E16" s="2" t="s">
        <v>422</v>
      </c>
      <c r="F16" s="2" t="s">
        <v>427</v>
      </c>
      <c r="G16" s="2" t="s">
        <v>428</v>
      </c>
    </row>
    <row r="17" spans="1:7" ht="27.6">
      <c r="A17" s="2" t="s">
        <v>429</v>
      </c>
      <c r="B17" s="2" t="s">
        <v>430</v>
      </c>
      <c r="C17" s="2" t="s">
        <v>46</v>
      </c>
      <c r="D17" s="3">
        <v>960</v>
      </c>
      <c r="E17" s="2" t="s">
        <v>431</v>
      </c>
      <c r="F17" s="2" t="s">
        <v>408</v>
      </c>
      <c r="G17" s="2" t="s">
        <v>432</v>
      </c>
    </row>
    <row r="18" spans="1:7">
      <c r="A18" s="2" t="s">
        <v>433</v>
      </c>
      <c r="B18" s="2" t="s">
        <v>434</v>
      </c>
      <c r="C18" s="2" t="s">
        <v>111</v>
      </c>
      <c r="D18" s="3">
        <v>62</v>
      </c>
      <c r="E18" s="2" t="s">
        <v>435</v>
      </c>
      <c r="F18" s="2" t="s">
        <v>436</v>
      </c>
      <c r="G18" s="2" t="s">
        <v>437</v>
      </c>
    </row>
    <row r="19" spans="1:7" ht="27.6">
      <c r="A19" s="2" t="s">
        <v>438</v>
      </c>
      <c r="B19" s="2" t="s">
        <v>439</v>
      </c>
      <c r="C19" s="2" t="s">
        <v>111</v>
      </c>
      <c r="D19" s="3">
        <v>8</v>
      </c>
      <c r="E19" s="2" t="s">
        <v>440</v>
      </c>
      <c r="F19" s="2" t="s">
        <v>441</v>
      </c>
      <c r="G19" s="2" t="s">
        <v>442</v>
      </c>
    </row>
    <row r="20" spans="1:7" ht="27.6">
      <c r="A20" s="2" t="s">
        <v>443</v>
      </c>
      <c r="B20" s="2" t="s">
        <v>444</v>
      </c>
      <c r="C20" s="2" t="s">
        <v>111</v>
      </c>
      <c r="D20" s="3">
        <v>54</v>
      </c>
      <c r="E20" s="2" t="s">
        <v>445</v>
      </c>
      <c r="F20" s="2" t="s">
        <v>408</v>
      </c>
      <c r="G20" s="2" t="s">
        <v>446</v>
      </c>
    </row>
    <row r="21" spans="1:7" ht="27.6">
      <c r="A21" s="2" t="s">
        <v>447</v>
      </c>
      <c r="B21" s="2" t="s">
        <v>448</v>
      </c>
      <c r="C21" s="2" t="s">
        <v>46</v>
      </c>
      <c r="D21" s="3">
        <v>240</v>
      </c>
      <c r="E21" s="2" t="s">
        <v>449</v>
      </c>
      <c r="F21" s="2" t="s">
        <v>450</v>
      </c>
      <c r="G21" s="2" t="s">
        <v>451</v>
      </c>
    </row>
    <row r="22" spans="1:7">
      <c r="A22" s="2" t="s">
        <v>452</v>
      </c>
      <c r="B22" s="2" t="s">
        <v>453</v>
      </c>
      <c r="C22" s="2" t="s">
        <v>46</v>
      </c>
      <c r="D22" s="3">
        <v>500</v>
      </c>
      <c r="E22" s="2" t="s">
        <v>454</v>
      </c>
      <c r="F22" s="2" t="s">
        <v>455</v>
      </c>
      <c r="G22" s="2" t="s">
        <v>451</v>
      </c>
    </row>
    <row r="23" spans="1:7">
      <c r="A23" s="2" t="s">
        <v>456</v>
      </c>
      <c r="B23" s="2" t="s">
        <v>457</v>
      </c>
      <c r="C23" s="2" t="s">
        <v>46</v>
      </c>
      <c r="D23" s="3">
        <v>90</v>
      </c>
      <c r="E23" s="2" t="s">
        <v>458</v>
      </c>
      <c r="F23" s="2" t="s">
        <v>455</v>
      </c>
      <c r="G23" s="2" t="s">
        <v>459</v>
      </c>
    </row>
    <row r="24" spans="1:7">
      <c r="A24" s="2" t="s">
        <v>460</v>
      </c>
      <c r="B24" s="2" t="s">
        <v>461</v>
      </c>
      <c r="C24" s="2" t="s">
        <v>46</v>
      </c>
      <c r="D24" s="3">
        <v>750</v>
      </c>
      <c r="E24" s="2" t="s">
        <v>462</v>
      </c>
      <c r="F24" s="2" t="s">
        <v>463</v>
      </c>
      <c r="G24" s="2" t="s">
        <v>464</v>
      </c>
    </row>
    <row r="25" spans="1:7">
      <c r="A25" s="2" t="s">
        <v>465</v>
      </c>
      <c r="B25" s="2" t="s">
        <v>466</v>
      </c>
      <c r="C25" s="2" t="s">
        <v>46</v>
      </c>
      <c r="D25" s="3">
        <v>120</v>
      </c>
      <c r="E25" s="2" t="s">
        <v>467</v>
      </c>
      <c r="F25" s="2" t="s">
        <v>455</v>
      </c>
      <c r="G25" s="2" t="s">
        <v>468</v>
      </c>
    </row>
    <row r="26" spans="1:7">
      <c r="A26" s="2" t="s">
        <v>469</v>
      </c>
      <c r="B26" s="2" t="s">
        <v>470</v>
      </c>
      <c r="C26" s="2" t="s">
        <v>103</v>
      </c>
      <c r="D26" s="3">
        <v>120</v>
      </c>
      <c r="E26" s="2" t="s">
        <v>471</v>
      </c>
      <c r="F26" s="2" t="s">
        <v>472</v>
      </c>
      <c r="G26" s="2" t="s">
        <v>473</v>
      </c>
    </row>
    <row r="27" spans="1:7">
      <c r="A27" s="2" t="s">
        <v>474</v>
      </c>
      <c r="B27" s="2" t="s">
        <v>475</v>
      </c>
      <c r="C27" s="2" t="s">
        <v>111</v>
      </c>
      <c r="D27" s="3">
        <v>40</v>
      </c>
      <c r="E27" s="2" t="s">
        <v>476</v>
      </c>
      <c r="F27" s="2" t="s">
        <v>472</v>
      </c>
      <c r="G27" s="2" t="s">
        <v>477</v>
      </c>
    </row>
    <row r="28" spans="1:7">
      <c r="A28" t="s">
        <v>478</v>
      </c>
      <c r="B28" t="s">
        <v>479</v>
      </c>
      <c r="C28" t="s">
        <v>20</v>
      </c>
      <c r="D28">
        <v>1</v>
      </c>
      <c r="E28" t="s">
        <v>480</v>
      </c>
      <c r="F28" t="s">
        <v>334</v>
      </c>
      <c r="G28" t="s">
        <v>481</v>
      </c>
    </row>
    <row r="29" spans="1:7">
      <c r="A29" t="s">
        <v>482</v>
      </c>
      <c r="B29" t="s">
        <v>483</v>
      </c>
      <c r="C29" t="s">
        <v>20</v>
      </c>
      <c r="D29">
        <v>1</v>
      </c>
      <c r="E29" t="s">
        <v>484</v>
      </c>
      <c r="F29" t="s">
        <v>485</v>
      </c>
      <c r="G29" t="s">
        <v>486</v>
      </c>
    </row>
    <row r="30" spans="1:7">
      <c r="A30" s="107" t="s">
        <v>487</v>
      </c>
      <c r="B30" s="107"/>
      <c r="C30" s="107"/>
      <c r="D30" s="107"/>
      <c r="E30" s="107"/>
      <c r="F30" s="107"/>
      <c r="G30" s="107"/>
    </row>
    <row r="31" spans="1:7">
      <c r="A31" s="5" t="s">
        <v>488</v>
      </c>
      <c r="B31" s="105" t="s">
        <v>489</v>
      </c>
      <c r="C31" s="105"/>
      <c r="D31" s="105"/>
      <c r="E31" s="105"/>
      <c r="F31" s="105"/>
      <c r="G31" s="105"/>
    </row>
    <row r="32" spans="1:7">
      <c r="A32" s="5" t="s">
        <v>490</v>
      </c>
      <c r="B32" s="105" t="s">
        <v>491</v>
      </c>
      <c r="C32" s="105"/>
      <c r="D32" s="105"/>
      <c r="E32" s="105"/>
      <c r="F32" s="105"/>
      <c r="G32" s="105"/>
    </row>
    <row r="33" spans="1:7">
      <c r="A33" s="5" t="s">
        <v>492</v>
      </c>
      <c r="B33" s="105" t="s">
        <v>493</v>
      </c>
      <c r="C33" s="105"/>
      <c r="D33" s="105"/>
      <c r="E33" s="105"/>
      <c r="F33" s="105"/>
      <c r="G33" s="105"/>
    </row>
    <row r="34" spans="1:7">
      <c r="A34" s="5" t="s">
        <v>494</v>
      </c>
      <c r="B34" s="105" t="s">
        <v>495</v>
      </c>
      <c r="C34" s="105"/>
      <c r="D34" s="105"/>
      <c r="E34" s="105"/>
      <c r="F34" s="105"/>
      <c r="G34" s="105"/>
    </row>
    <row r="35" spans="1:7">
      <c r="A35" s="5" t="s">
        <v>496</v>
      </c>
      <c r="B35" s="105" t="s">
        <v>497</v>
      </c>
      <c r="C35" s="105"/>
      <c r="D35" s="105"/>
      <c r="E35" s="105"/>
      <c r="F35" s="105"/>
      <c r="G35" s="105"/>
    </row>
    <row r="36" spans="1:7">
      <c r="A36" s="5" t="s">
        <v>498</v>
      </c>
      <c r="B36" s="105" t="s">
        <v>499</v>
      </c>
      <c r="C36" s="105"/>
      <c r="D36" s="105"/>
      <c r="E36" s="105"/>
      <c r="F36" s="105"/>
      <c r="G36" s="105"/>
    </row>
  </sheetData>
  <mergeCells count="8">
    <mergeCell ref="B34:G34"/>
    <mergeCell ref="B35:G35"/>
    <mergeCell ref="B36:G36"/>
    <mergeCell ref="A1:G1"/>
    <mergeCell ref="A30:G30"/>
    <mergeCell ref="B31:G31"/>
    <mergeCell ref="B32:G32"/>
    <mergeCell ref="B33:G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
  <sheetViews>
    <sheetView topLeftCell="A25" workbookViewId="0">
      <selection sqref="A1:XFD34"/>
    </sheetView>
  </sheetViews>
  <sheetFormatPr defaultRowHeight="13.8"/>
  <cols>
    <col min="1" max="1" width="14" customWidth="1"/>
    <col min="2" max="2" width="44" customWidth="1"/>
    <col min="3" max="3" width="10" customWidth="1"/>
    <col min="4" max="4" width="16" customWidth="1"/>
    <col min="5" max="5" width="10" customWidth="1"/>
    <col min="6" max="6" width="18" customWidth="1"/>
    <col min="7" max="7" width="24" customWidth="1"/>
    <col min="8" max="8" width="18" customWidth="1"/>
    <col min="9" max="9" width="42" customWidth="1"/>
    <col min="10" max="10" width="45" customWidth="1"/>
  </cols>
  <sheetData>
    <row r="1" spans="1:10" ht="17.399999999999999">
      <c r="A1" s="106" t="s">
        <v>500</v>
      </c>
      <c r="B1" s="106"/>
      <c r="C1" s="106"/>
      <c r="D1" s="106"/>
      <c r="E1" s="106"/>
      <c r="F1" s="106"/>
      <c r="G1" s="106"/>
      <c r="H1" s="106"/>
      <c r="I1" s="106"/>
      <c r="J1" s="106"/>
    </row>
    <row r="3" spans="1:10" ht="27.6">
      <c r="A3" s="1" t="s">
        <v>13</v>
      </c>
      <c r="B3" s="1" t="s">
        <v>501</v>
      </c>
      <c r="C3" s="1" t="s">
        <v>8</v>
      </c>
      <c r="D3" s="1" t="s">
        <v>502</v>
      </c>
      <c r="E3" s="1" t="s">
        <v>503</v>
      </c>
      <c r="F3" s="1" t="s">
        <v>504</v>
      </c>
      <c r="G3" s="1" t="s">
        <v>12</v>
      </c>
      <c r="H3" s="1" t="s">
        <v>505</v>
      </c>
      <c r="I3" s="1" t="s">
        <v>506</v>
      </c>
      <c r="J3" s="1" t="s">
        <v>507</v>
      </c>
    </row>
    <row r="4" spans="1:10" ht="27.6">
      <c r="A4" s="2" t="s">
        <v>66</v>
      </c>
      <c r="B4" s="2" t="s">
        <v>508</v>
      </c>
      <c r="C4" s="2" t="s">
        <v>46</v>
      </c>
      <c r="D4" s="4">
        <v>405</v>
      </c>
      <c r="E4" s="7">
        <v>0</v>
      </c>
      <c r="F4" s="4">
        <v>405</v>
      </c>
      <c r="G4" s="2" t="s">
        <v>65</v>
      </c>
      <c r="H4" s="2" t="s">
        <v>509</v>
      </c>
      <c r="I4" s="2" t="s">
        <v>510</v>
      </c>
      <c r="J4" s="2" t="s">
        <v>511</v>
      </c>
    </row>
    <row r="5" spans="1:10" ht="27.6">
      <c r="A5" s="2" t="s">
        <v>72</v>
      </c>
      <c r="B5" s="2" t="s">
        <v>512</v>
      </c>
      <c r="C5" s="2" t="s">
        <v>46</v>
      </c>
      <c r="D5" s="4">
        <v>369</v>
      </c>
      <c r="E5" s="7">
        <v>0</v>
      </c>
      <c r="F5" s="4">
        <v>369</v>
      </c>
      <c r="G5" s="2" t="s">
        <v>71</v>
      </c>
      <c r="H5" s="2" t="s">
        <v>509</v>
      </c>
      <c r="I5" s="2" t="s">
        <v>510</v>
      </c>
      <c r="J5" s="2" t="s">
        <v>513</v>
      </c>
    </row>
    <row r="6" spans="1:10" ht="27.6">
      <c r="A6" s="2" t="s">
        <v>81</v>
      </c>
      <c r="B6" s="2" t="s">
        <v>514</v>
      </c>
      <c r="C6" s="2" t="s">
        <v>80</v>
      </c>
      <c r="D6" s="4">
        <v>2000</v>
      </c>
      <c r="E6" s="7">
        <v>0</v>
      </c>
      <c r="F6" s="4">
        <v>2000</v>
      </c>
      <c r="G6" s="2" t="s">
        <v>71</v>
      </c>
      <c r="H6" s="2" t="s">
        <v>515</v>
      </c>
      <c r="I6" s="2" t="s">
        <v>510</v>
      </c>
      <c r="J6" s="2" t="s">
        <v>516</v>
      </c>
    </row>
    <row r="7" spans="1:10" ht="27.6">
      <c r="A7" s="2" t="s">
        <v>90</v>
      </c>
      <c r="B7" s="2" t="s">
        <v>517</v>
      </c>
      <c r="C7" s="2" t="s">
        <v>46</v>
      </c>
      <c r="D7" s="4">
        <v>770</v>
      </c>
      <c r="E7" s="7">
        <v>0</v>
      </c>
      <c r="F7" s="4">
        <v>770</v>
      </c>
      <c r="G7" s="2" t="s">
        <v>65</v>
      </c>
      <c r="H7" s="2" t="s">
        <v>518</v>
      </c>
      <c r="I7" s="2" t="s">
        <v>510</v>
      </c>
      <c r="J7" s="2" t="s">
        <v>519</v>
      </c>
    </row>
    <row r="8" spans="1:10" ht="27.6">
      <c r="A8" s="2" t="s">
        <v>123</v>
      </c>
      <c r="B8" s="2" t="s">
        <v>520</v>
      </c>
      <c r="C8" s="2" t="s">
        <v>121</v>
      </c>
      <c r="D8" s="4">
        <v>4207</v>
      </c>
      <c r="E8" s="7">
        <v>0</v>
      </c>
      <c r="F8" s="4">
        <v>4207</v>
      </c>
      <c r="G8" s="2" t="s">
        <v>521</v>
      </c>
      <c r="H8" s="2" t="s">
        <v>123</v>
      </c>
      <c r="I8" s="2" t="s">
        <v>522</v>
      </c>
      <c r="J8" s="2" t="s">
        <v>523</v>
      </c>
    </row>
    <row r="9" spans="1:10" ht="27.6">
      <c r="A9" s="2" t="s">
        <v>136</v>
      </c>
      <c r="B9" s="2" t="s">
        <v>524</v>
      </c>
      <c r="C9" s="2" t="s">
        <v>80</v>
      </c>
      <c r="D9" s="4">
        <v>32300</v>
      </c>
      <c r="E9" s="7">
        <v>0</v>
      </c>
      <c r="F9" s="4">
        <v>32300</v>
      </c>
      <c r="G9" s="2" t="s">
        <v>65</v>
      </c>
      <c r="H9" s="2" t="s">
        <v>525</v>
      </c>
      <c r="I9" s="2" t="s">
        <v>510</v>
      </c>
      <c r="J9" s="2" t="s">
        <v>526</v>
      </c>
    </row>
    <row r="10" spans="1:10" ht="27.6">
      <c r="A10" s="2" t="s">
        <v>144</v>
      </c>
      <c r="B10" s="2" t="s">
        <v>527</v>
      </c>
      <c r="C10" s="2" t="s">
        <v>143</v>
      </c>
      <c r="D10" s="4">
        <v>494</v>
      </c>
      <c r="E10" s="7">
        <v>0</v>
      </c>
      <c r="F10" s="4">
        <v>494</v>
      </c>
      <c r="G10" s="2" t="s">
        <v>71</v>
      </c>
      <c r="H10" s="2" t="s">
        <v>528</v>
      </c>
      <c r="I10" s="2" t="s">
        <v>510</v>
      </c>
      <c r="J10" s="2" t="s">
        <v>529</v>
      </c>
    </row>
    <row r="11" spans="1:10" ht="27.6">
      <c r="A11" s="2" t="s">
        <v>149</v>
      </c>
      <c r="B11" s="2" t="s">
        <v>530</v>
      </c>
      <c r="C11" s="2" t="s">
        <v>46</v>
      </c>
      <c r="D11" s="4">
        <v>4070</v>
      </c>
      <c r="E11" s="7">
        <v>0</v>
      </c>
      <c r="F11" s="4">
        <v>4070</v>
      </c>
      <c r="G11" s="2" t="s">
        <v>71</v>
      </c>
      <c r="H11" s="2" t="s">
        <v>531</v>
      </c>
      <c r="I11" s="2" t="s">
        <v>510</v>
      </c>
      <c r="J11" s="2" t="s">
        <v>532</v>
      </c>
    </row>
    <row r="12" spans="1:10" ht="27.6">
      <c r="A12" s="2" t="s">
        <v>153</v>
      </c>
      <c r="B12" s="2" t="s">
        <v>533</v>
      </c>
      <c r="C12" s="2" t="s">
        <v>103</v>
      </c>
      <c r="D12" s="4">
        <v>2650.8136339068724</v>
      </c>
      <c r="E12" s="7">
        <v>0</v>
      </c>
      <c r="F12" s="4">
        <v>2650.8136339068724</v>
      </c>
      <c r="G12" s="2" t="s">
        <v>152</v>
      </c>
      <c r="H12" s="2" t="s">
        <v>534</v>
      </c>
      <c r="I12" s="2" t="s">
        <v>510</v>
      </c>
      <c r="J12" s="2" t="s">
        <v>535</v>
      </c>
    </row>
    <row r="13" spans="1:10" ht="27.6">
      <c r="A13" s="2" t="s">
        <v>158</v>
      </c>
      <c r="B13" s="2" t="s">
        <v>536</v>
      </c>
      <c r="C13" s="2" t="s">
        <v>103</v>
      </c>
      <c r="D13" s="4">
        <v>3520.3051280256632</v>
      </c>
      <c r="E13" s="7">
        <v>0</v>
      </c>
      <c r="F13" s="4">
        <v>3520.3051280256632</v>
      </c>
      <c r="G13" s="2" t="s">
        <v>152</v>
      </c>
      <c r="H13" s="2" t="s">
        <v>534</v>
      </c>
      <c r="I13" s="2" t="s">
        <v>510</v>
      </c>
      <c r="J13" s="2" t="s">
        <v>537</v>
      </c>
    </row>
    <row r="14" spans="1:10" ht="27.6">
      <c r="A14" s="2" t="s">
        <v>185</v>
      </c>
      <c r="B14" s="2" t="s">
        <v>538</v>
      </c>
      <c r="C14" s="2" t="s">
        <v>46</v>
      </c>
      <c r="D14" s="4">
        <v>3000</v>
      </c>
      <c r="E14" s="7">
        <v>0</v>
      </c>
      <c r="F14" s="4">
        <v>3000</v>
      </c>
      <c r="G14" s="2" t="s">
        <v>65</v>
      </c>
      <c r="H14" s="2" t="s">
        <v>539</v>
      </c>
      <c r="I14" s="2" t="s">
        <v>510</v>
      </c>
      <c r="J14" s="2" t="s">
        <v>540</v>
      </c>
    </row>
    <row r="15" spans="1:10" ht="27.6">
      <c r="A15" s="2" t="s">
        <v>191</v>
      </c>
      <c r="B15" s="2" t="s">
        <v>541</v>
      </c>
      <c r="C15" s="2" t="s">
        <v>46</v>
      </c>
      <c r="D15" s="4">
        <v>4500</v>
      </c>
      <c r="E15" s="7">
        <v>0</v>
      </c>
      <c r="F15" s="4">
        <v>4500</v>
      </c>
      <c r="G15" s="2" t="s">
        <v>152</v>
      </c>
      <c r="H15" s="2" t="s">
        <v>542</v>
      </c>
      <c r="I15" s="2" t="s">
        <v>510</v>
      </c>
      <c r="J15" s="2" t="s">
        <v>543</v>
      </c>
    </row>
    <row r="16" spans="1:10" ht="27.6">
      <c r="A16" s="2" t="s">
        <v>195</v>
      </c>
      <c r="B16" s="2" t="s">
        <v>544</v>
      </c>
      <c r="C16" s="2" t="s">
        <v>80</v>
      </c>
      <c r="D16" s="4">
        <v>32900</v>
      </c>
      <c r="E16" s="7">
        <v>0</v>
      </c>
      <c r="F16" s="4">
        <v>32900</v>
      </c>
      <c r="G16" s="2" t="s">
        <v>65</v>
      </c>
      <c r="H16" s="2" t="s">
        <v>545</v>
      </c>
      <c r="I16" s="2" t="s">
        <v>510</v>
      </c>
      <c r="J16" s="2" t="s">
        <v>546</v>
      </c>
    </row>
    <row r="17" spans="1:10" ht="27.6">
      <c r="A17" s="2" t="s">
        <v>200</v>
      </c>
      <c r="B17" s="2" t="s">
        <v>547</v>
      </c>
      <c r="C17" s="2" t="s">
        <v>46</v>
      </c>
      <c r="D17" s="4">
        <v>2357</v>
      </c>
      <c r="E17" s="7">
        <v>0</v>
      </c>
      <c r="F17" s="4">
        <v>2357</v>
      </c>
      <c r="G17" s="2" t="s">
        <v>152</v>
      </c>
      <c r="H17" s="2" t="s">
        <v>548</v>
      </c>
      <c r="I17" s="2" t="s">
        <v>510</v>
      </c>
      <c r="J17" s="2" t="s">
        <v>549</v>
      </c>
    </row>
    <row r="18" spans="1:10" ht="27.6">
      <c r="A18" s="2" t="s">
        <v>205</v>
      </c>
      <c r="B18" s="2" t="s">
        <v>550</v>
      </c>
      <c r="C18" s="2" t="s">
        <v>46</v>
      </c>
      <c r="D18" s="4">
        <v>1740</v>
      </c>
      <c r="E18" s="7">
        <v>0</v>
      </c>
      <c r="F18" s="4">
        <v>1740</v>
      </c>
      <c r="G18" s="2" t="s">
        <v>71</v>
      </c>
      <c r="H18" s="2" t="s">
        <v>551</v>
      </c>
      <c r="I18" s="2" t="s">
        <v>510</v>
      </c>
      <c r="J18" s="2" t="s">
        <v>552</v>
      </c>
    </row>
    <row r="19" spans="1:10" ht="27.6">
      <c r="A19" s="2" t="s">
        <v>553</v>
      </c>
      <c r="B19" s="2" t="s">
        <v>554</v>
      </c>
      <c r="C19" s="2" t="s">
        <v>46</v>
      </c>
      <c r="D19" s="4">
        <v>4553</v>
      </c>
      <c r="E19" s="7">
        <v>0.27</v>
      </c>
      <c r="F19" s="4">
        <v>5782.31</v>
      </c>
      <c r="G19" s="2" t="s">
        <v>555</v>
      </c>
      <c r="H19" s="2" t="s">
        <v>556</v>
      </c>
      <c r="I19" s="2" t="s">
        <v>557</v>
      </c>
      <c r="J19" s="2" t="s">
        <v>558</v>
      </c>
    </row>
    <row r="20" spans="1:10" ht="27.6">
      <c r="A20" s="2" t="s">
        <v>559</v>
      </c>
      <c r="B20" s="2" t="s">
        <v>560</v>
      </c>
      <c r="C20" s="2" t="s">
        <v>46</v>
      </c>
      <c r="D20" s="4">
        <v>4525</v>
      </c>
      <c r="E20" s="7">
        <v>0.27</v>
      </c>
      <c r="F20" s="4">
        <v>5746.75</v>
      </c>
      <c r="G20" s="2" t="s">
        <v>555</v>
      </c>
      <c r="H20" s="2" t="s">
        <v>561</v>
      </c>
      <c r="I20" s="2" t="s">
        <v>557</v>
      </c>
      <c r="J20" s="2" t="s">
        <v>562</v>
      </c>
    </row>
    <row r="21" spans="1:10" ht="27.6">
      <c r="A21" s="2" t="s">
        <v>233</v>
      </c>
      <c r="B21" s="2" t="s">
        <v>563</v>
      </c>
      <c r="C21" s="2" t="s">
        <v>46</v>
      </c>
      <c r="D21" s="4">
        <v>5034</v>
      </c>
      <c r="E21" s="7">
        <v>0.27</v>
      </c>
      <c r="F21" s="4">
        <v>6393.18</v>
      </c>
      <c r="G21" s="2" t="s">
        <v>555</v>
      </c>
      <c r="H21" s="2" t="s">
        <v>564</v>
      </c>
      <c r="I21" s="2" t="s">
        <v>557</v>
      </c>
      <c r="J21" s="2" t="s">
        <v>565</v>
      </c>
    </row>
    <row r="22" spans="1:10" ht="27.6">
      <c r="A22" s="2" t="s">
        <v>566</v>
      </c>
      <c r="B22" s="2" t="s">
        <v>567</v>
      </c>
      <c r="C22" s="2" t="s">
        <v>46</v>
      </c>
      <c r="D22" s="4">
        <v>5920</v>
      </c>
      <c r="E22" s="7">
        <v>0.27</v>
      </c>
      <c r="F22" s="4">
        <v>7518.4000000000005</v>
      </c>
      <c r="G22" s="2" t="s">
        <v>555</v>
      </c>
      <c r="H22" s="2" t="s">
        <v>564</v>
      </c>
      <c r="I22" s="2" t="s">
        <v>557</v>
      </c>
      <c r="J22" s="2" t="s">
        <v>568</v>
      </c>
    </row>
    <row r="23" spans="1:10" ht="27.6">
      <c r="A23" s="2" t="s">
        <v>569</v>
      </c>
      <c r="B23" s="2" t="s">
        <v>570</v>
      </c>
      <c r="C23" s="2" t="s">
        <v>46</v>
      </c>
      <c r="D23" s="4">
        <v>2583</v>
      </c>
      <c r="E23" s="7">
        <v>0.27</v>
      </c>
      <c r="F23" s="4">
        <v>3280.41</v>
      </c>
      <c r="G23" s="2" t="s">
        <v>555</v>
      </c>
      <c r="H23" s="2" t="s">
        <v>564</v>
      </c>
      <c r="I23" s="2" t="s">
        <v>557</v>
      </c>
      <c r="J23" s="2" t="s">
        <v>571</v>
      </c>
    </row>
    <row r="24" spans="1:10" ht="27.6">
      <c r="A24" s="2" t="s">
        <v>572</v>
      </c>
      <c r="B24" s="2" t="s">
        <v>573</v>
      </c>
      <c r="C24" s="2" t="s">
        <v>46</v>
      </c>
      <c r="D24" s="4">
        <v>887</v>
      </c>
      <c r="E24" s="7">
        <v>0.27</v>
      </c>
      <c r="F24" s="4">
        <v>1126.49</v>
      </c>
      <c r="G24" s="2" t="s">
        <v>555</v>
      </c>
      <c r="H24" s="2" t="s">
        <v>574</v>
      </c>
      <c r="I24" s="2" t="s">
        <v>557</v>
      </c>
      <c r="J24" s="2" t="s">
        <v>575</v>
      </c>
    </row>
    <row r="25" spans="1:10" ht="27.6">
      <c r="A25" s="2" t="s">
        <v>576</v>
      </c>
      <c r="B25" s="2" t="s">
        <v>577</v>
      </c>
      <c r="C25" s="2" t="s">
        <v>46</v>
      </c>
      <c r="D25" s="4">
        <v>1052</v>
      </c>
      <c r="E25" s="7">
        <v>0.27</v>
      </c>
      <c r="F25" s="4">
        <v>1336.04</v>
      </c>
      <c r="G25" s="2" t="s">
        <v>555</v>
      </c>
      <c r="H25" s="2" t="s">
        <v>574</v>
      </c>
      <c r="I25" s="2" t="s">
        <v>557</v>
      </c>
      <c r="J25" s="2" t="s">
        <v>578</v>
      </c>
    </row>
    <row r="26" spans="1:10" ht="27.6">
      <c r="A26" s="2" t="s">
        <v>579</v>
      </c>
      <c r="B26" s="2" t="s">
        <v>580</v>
      </c>
      <c r="C26" s="2" t="s">
        <v>46</v>
      </c>
      <c r="D26" s="4">
        <v>13500</v>
      </c>
      <c r="E26" s="7">
        <v>0</v>
      </c>
      <c r="F26" s="4">
        <v>13500</v>
      </c>
      <c r="G26" s="2" t="s">
        <v>581</v>
      </c>
      <c r="H26" s="2" t="s">
        <v>582</v>
      </c>
      <c r="I26" s="2" t="s">
        <v>583</v>
      </c>
      <c r="J26" s="2" t="s">
        <v>584</v>
      </c>
    </row>
    <row r="27" spans="1:10" ht="27.6">
      <c r="A27" s="2" t="s">
        <v>338</v>
      </c>
      <c r="B27" s="2" t="s">
        <v>585</v>
      </c>
      <c r="C27" s="2" t="s">
        <v>586</v>
      </c>
      <c r="D27" s="4"/>
      <c r="E27" s="7"/>
      <c r="F27" s="4"/>
      <c r="G27" s="2" t="s">
        <v>272</v>
      </c>
      <c r="H27" s="2" t="s">
        <v>587</v>
      </c>
      <c r="I27" s="2" t="s">
        <v>588</v>
      </c>
      <c r="J27" s="2" t="s">
        <v>589</v>
      </c>
    </row>
    <row r="28" spans="1:10">
      <c r="A28" t="s">
        <v>328</v>
      </c>
      <c r="B28" t="s">
        <v>590</v>
      </c>
      <c r="C28" t="s">
        <v>20</v>
      </c>
      <c r="D28">
        <v>250000</v>
      </c>
      <c r="E28">
        <v>0</v>
      </c>
      <c r="F28">
        <v>250000</v>
      </c>
      <c r="G28" t="s">
        <v>21</v>
      </c>
      <c r="H28" t="s">
        <v>591</v>
      </c>
      <c r="I28" t="s">
        <v>334</v>
      </c>
      <c r="J28" t="s">
        <v>592</v>
      </c>
    </row>
    <row r="29" spans="1:10">
      <c r="A29" t="s">
        <v>333</v>
      </c>
      <c r="B29" t="s">
        <v>593</v>
      </c>
      <c r="C29" t="s">
        <v>20</v>
      </c>
      <c r="D29">
        <v>1000000</v>
      </c>
      <c r="E29">
        <v>0</v>
      </c>
      <c r="F29">
        <v>1000000</v>
      </c>
      <c r="G29" t="s">
        <v>21</v>
      </c>
      <c r="H29" t="s">
        <v>591</v>
      </c>
      <c r="I29" t="s">
        <v>334</v>
      </c>
      <c r="J29" t="s">
        <v>594</v>
      </c>
    </row>
    <row r="30" spans="1:10">
      <c r="A30" t="s">
        <v>340</v>
      </c>
      <c r="B30" t="s">
        <v>595</v>
      </c>
      <c r="C30" t="s">
        <v>338</v>
      </c>
      <c r="D30">
        <v>1500000</v>
      </c>
      <c r="E30">
        <v>0</v>
      </c>
      <c r="F30">
        <v>1500000</v>
      </c>
      <c r="G30" t="s">
        <v>339</v>
      </c>
      <c r="H30" t="s">
        <v>591</v>
      </c>
      <c r="I30" t="s">
        <v>596</v>
      </c>
      <c r="J30" t="s">
        <v>597</v>
      </c>
    </row>
    <row r="31" spans="1:10">
      <c r="A31" t="s">
        <v>345</v>
      </c>
      <c r="B31" t="s">
        <v>598</v>
      </c>
      <c r="C31" t="s">
        <v>20</v>
      </c>
      <c r="D31">
        <v>900000</v>
      </c>
      <c r="E31">
        <v>0</v>
      </c>
      <c r="F31">
        <v>900000</v>
      </c>
      <c r="G31" t="s">
        <v>21</v>
      </c>
      <c r="H31" t="s">
        <v>591</v>
      </c>
      <c r="I31" t="s">
        <v>599</v>
      </c>
      <c r="J31" t="s">
        <v>600</v>
      </c>
    </row>
    <row r="32" spans="1:10">
      <c r="A32" t="s">
        <v>350</v>
      </c>
      <c r="B32" t="s">
        <v>601</v>
      </c>
      <c r="C32" t="s">
        <v>20</v>
      </c>
      <c r="D32">
        <v>900000</v>
      </c>
      <c r="E32">
        <v>0</v>
      </c>
      <c r="F32">
        <v>900000</v>
      </c>
      <c r="G32" t="s">
        <v>21</v>
      </c>
      <c r="H32" t="s">
        <v>591</v>
      </c>
      <c r="I32" t="s">
        <v>602</v>
      </c>
      <c r="J32" t="s">
        <v>603</v>
      </c>
    </row>
    <row r="33" spans="1:10">
      <c r="A33" t="s">
        <v>355</v>
      </c>
      <c r="B33" t="s">
        <v>604</v>
      </c>
      <c r="C33" t="s">
        <v>20</v>
      </c>
      <c r="D33">
        <v>600000</v>
      </c>
      <c r="E33">
        <v>0</v>
      </c>
      <c r="F33">
        <v>600000</v>
      </c>
      <c r="G33" t="s">
        <v>21</v>
      </c>
      <c r="H33" t="s">
        <v>591</v>
      </c>
      <c r="I33" t="s">
        <v>605</v>
      </c>
      <c r="J33" t="s">
        <v>606</v>
      </c>
    </row>
    <row r="34" spans="1:10">
      <c r="A34" t="s">
        <v>361</v>
      </c>
      <c r="B34" t="s">
        <v>607</v>
      </c>
      <c r="C34" t="s">
        <v>20</v>
      </c>
      <c r="D34">
        <v>600000</v>
      </c>
      <c r="E34">
        <v>0</v>
      </c>
      <c r="F34">
        <v>600000</v>
      </c>
      <c r="G34" t="s">
        <v>360</v>
      </c>
      <c r="H34" t="s">
        <v>591</v>
      </c>
      <c r="I34" t="s">
        <v>608</v>
      </c>
      <c r="J34" t="s">
        <v>609</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3"/>
  <sheetViews>
    <sheetView topLeftCell="A39" workbookViewId="0">
      <selection activeCell="D55" sqref="D55"/>
    </sheetView>
  </sheetViews>
  <sheetFormatPr defaultColWidth="8.69921875" defaultRowHeight="13.8"/>
  <cols>
    <col min="1" max="1" width="12" style="8" customWidth="1"/>
    <col min="2" max="2" width="26" style="8" customWidth="1"/>
    <col min="3" max="3" width="11" style="8" customWidth="1"/>
    <col min="4" max="4" width="54" style="8" customWidth="1"/>
    <col min="5" max="5" width="16" style="8" customWidth="1"/>
    <col min="6" max="6" width="10" style="8" customWidth="1"/>
    <col min="7" max="7" width="12" style="8" customWidth="1"/>
    <col min="8" max="8" width="16" style="8" customWidth="1"/>
    <col min="9" max="9" width="18" style="8" customWidth="1"/>
    <col min="10" max="10" width="12" style="8" customWidth="1"/>
    <col min="11" max="11" width="25" style="8" customWidth="1"/>
    <col min="12" max="12" width="44" style="8" customWidth="1"/>
    <col min="13" max="13" width="18" style="8" customWidth="1"/>
    <col min="14" max="14" width="8.69921875" style="8"/>
    <col min="15" max="15" width="20" style="8" customWidth="1"/>
    <col min="16" max="16" width="45" style="8" customWidth="1"/>
    <col min="17" max="16384" width="8.69921875" style="8"/>
  </cols>
  <sheetData>
    <row r="1" spans="1:16" ht="16.8">
      <c r="A1" s="95" t="s">
        <v>610</v>
      </c>
      <c r="B1" s="96"/>
      <c r="C1" s="96"/>
      <c r="D1" s="96"/>
      <c r="E1" s="96"/>
      <c r="F1" s="96"/>
      <c r="G1" s="96"/>
      <c r="H1" s="96"/>
      <c r="I1" s="96"/>
      <c r="J1" s="96"/>
      <c r="K1" s="96"/>
      <c r="L1" s="86"/>
      <c r="M1" s="86"/>
      <c r="O1" s="9" t="s">
        <v>611</v>
      </c>
      <c r="P1" s="6" t="s">
        <v>612</v>
      </c>
    </row>
    <row r="2" spans="1:16">
      <c r="A2" s="96" t="s">
        <v>613</v>
      </c>
      <c r="B2" s="96"/>
      <c r="C2" s="96"/>
      <c r="D2" s="96"/>
      <c r="E2" s="96"/>
      <c r="F2" s="96"/>
      <c r="G2" s="96"/>
      <c r="H2" s="96"/>
      <c r="I2" s="96"/>
      <c r="J2" s="96"/>
      <c r="K2" s="96"/>
      <c r="L2" s="6"/>
      <c r="M2" s="6"/>
      <c r="O2" s="9" t="s">
        <v>614</v>
      </c>
      <c r="P2" s="6" t="s">
        <v>522</v>
      </c>
    </row>
    <row r="3" spans="1:16">
      <c r="A3" s="96" t="s">
        <v>615</v>
      </c>
      <c r="B3" s="96"/>
      <c r="C3" s="96"/>
      <c r="D3" s="96"/>
      <c r="E3" s="96"/>
      <c r="F3" s="96"/>
      <c r="G3" s="96"/>
      <c r="H3" s="96"/>
      <c r="I3" s="96"/>
      <c r="J3" s="96"/>
      <c r="K3" s="96"/>
      <c r="L3" s="6"/>
      <c r="M3" s="6"/>
      <c r="O3" s="9" t="s">
        <v>616</v>
      </c>
      <c r="P3" s="58">
        <v>4798506.9000000004</v>
      </c>
    </row>
    <row r="4" spans="1:16" ht="27.6">
      <c r="A4" s="6"/>
      <c r="B4" s="6"/>
      <c r="C4" s="6"/>
      <c r="D4" s="6"/>
      <c r="E4" s="6"/>
      <c r="F4" s="6"/>
      <c r="G4" s="6"/>
      <c r="H4" s="6"/>
      <c r="I4" s="6"/>
      <c r="J4" s="6"/>
      <c r="K4" s="6"/>
      <c r="L4" s="6"/>
      <c r="M4" s="6"/>
      <c r="O4" s="9" t="s">
        <v>617</v>
      </c>
      <c r="P4" s="6" t="s">
        <v>618</v>
      </c>
    </row>
    <row r="5" spans="1:16">
      <c r="A5" s="9" t="s">
        <v>619</v>
      </c>
      <c r="B5" s="9" t="s">
        <v>5</v>
      </c>
      <c r="C5" s="9" t="s">
        <v>619</v>
      </c>
      <c r="D5" s="9" t="s">
        <v>7</v>
      </c>
      <c r="E5" s="9" t="s">
        <v>620</v>
      </c>
      <c r="F5" s="9" t="s">
        <v>8</v>
      </c>
      <c r="G5" s="9" t="s">
        <v>9</v>
      </c>
      <c r="H5" s="9" t="s">
        <v>10</v>
      </c>
      <c r="I5" s="9" t="s">
        <v>11</v>
      </c>
      <c r="J5" s="9" t="s">
        <v>4</v>
      </c>
      <c r="K5" s="9" t="s">
        <v>621</v>
      </c>
      <c r="L5" s="9" t="s">
        <v>622</v>
      </c>
      <c r="M5" s="9" t="s">
        <v>623</v>
      </c>
    </row>
    <row r="6" spans="1:16">
      <c r="A6" s="9"/>
      <c r="B6" s="9" t="s">
        <v>2491</v>
      </c>
      <c r="C6" s="9"/>
      <c r="D6" s="9"/>
      <c r="E6" s="9"/>
      <c r="F6" s="9"/>
      <c r="G6" s="9"/>
      <c r="H6" s="9"/>
      <c r="I6" s="9"/>
      <c r="J6" s="9"/>
      <c r="K6" s="9"/>
      <c r="L6" s="9"/>
      <c r="M6" s="9"/>
    </row>
    <row r="7" spans="1:16" ht="27.6">
      <c r="A7" s="6">
        <v>1</v>
      </c>
      <c r="B7" s="9" t="s">
        <v>2491</v>
      </c>
      <c r="C7" s="6" t="s">
        <v>2492</v>
      </c>
      <c r="D7" s="6" t="s">
        <v>625</v>
      </c>
      <c r="E7" s="6" t="s">
        <v>21</v>
      </c>
      <c r="F7" s="6" t="s">
        <v>619</v>
      </c>
      <c r="G7" s="57">
        <v>1</v>
      </c>
      <c r="H7" s="58">
        <v>150000</v>
      </c>
      <c r="I7" s="58">
        <f>IF(G7*H7&lt;&gt;0,G7*H7,"")</f>
        <v>150000</v>
      </c>
      <c r="J7" s="6" t="s">
        <v>338</v>
      </c>
      <c r="K7" s="6" t="s">
        <v>626</v>
      </c>
      <c r="L7" s="6" t="s">
        <v>627</v>
      </c>
      <c r="M7" s="6"/>
    </row>
    <row r="8" spans="1:16">
      <c r="A8" s="6">
        <v>2</v>
      </c>
      <c r="B8" s="9" t="s">
        <v>2491</v>
      </c>
      <c r="C8" s="6" t="s">
        <v>2495</v>
      </c>
      <c r="D8" s="6" t="s">
        <v>628</v>
      </c>
      <c r="E8" s="6" t="s">
        <v>21</v>
      </c>
      <c r="F8" s="6" t="s">
        <v>619</v>
      </c>
      <c r="G8" s="57">
        <v>1</v>
      </c>
      <c r="H8" s="58">
        <v>175000</v>
      </c>
      <c r="I8" s="58">
        <f t="shared" ref="I8:I17" si="0">IF(G8*H8&lt;&gt;0,G8*H8,"")</f>
        <v>175000</v>
      </c>
      <c r="J8" s="6" t="s">
        <v>338</v>
      </c>
      <c r="K8" s="6" t="s">
        <v>629</v>
      </c>
      <c r="L8" s="6" t="s">
        <v>630</v>
      </c>
      <c r="M8" s="6"/>
    </row>
    <row r="9" spans="1:16" ht="27.6">
      <c r="A9" s="6" t="s">
        <v>631</v>
      </c>
      <c r="B9" s="6"/>
      <c r="C9" s="6"/>
      <c r="D9" s="6"/>
      <c r="E9" s="6"/>
      <c r="F9" s="6"/>
      <c r="G9" s="57"/>
      <c r="H9" s="58"/>
      <c r="I9" s="59">
        <f>SUM(I7:I8)</f>
        <v>325000</v>
      </c>
      <c r="J9" s="6"/>
      <c r="K9" s="6"/>
      <c r="L9" s="6"/>
      <c r="M9" s="6"/>
    </row>
    <row r="10" spans="1:16">
      <c r="A10" s="6"/>
      <c r="B10" s="6"/>
      <c r="C10" s="6"/>
      <c r="D10" s="6"/>
      <c r="E10" s="6"/>
      <c r="F10" s="6"/>
      <c r="G10" s="57"/>
      <c r="H10" s="58"/>
      <c r="I10" s="58" t="str">
        <f t="shared" si="0"/>
        <v/>
      </c>
      <c r="J10" s="6"/>
      <c r="K10" s="6"/>
      <c r="L10" s="6"/>
      <c r="M10" s="6"/>
    </row>
    <row r="11" spans="1:16">
      <c r="A11" s="6">
        <v>3</v>
      </c>
      <c r="B11" s="6" t="s">
        <v>2496</v>
      </c>
      <c r="C11" s="6" t="s">
        <v>2497</v>
      </c>
      <c r="D11" s="6" t="s">
        <v>633</v>
      </c>
      <c r="E11" s="6" t="s">
        <v>634</v>
      </c>
      <c r="F11" s="6" t="s">
        <v>46</v>
      </c>
      <c r="G11" s="57">
        <v>650</v>
      </c>
      <c r="H11" s="58">
        <v>86</v>
      </c>
      <c r="I11" s="58">
        <f t="shared" si="0"/>
        <v>55900</v>
      </c>
      <c r="J11" s="6" t="s">
        <v>190</v>
      </c>
      <c r="K11" s="6" t="s">
        <v>635</v>
      </c>
      <c r="L11" s="6" t="s">
        <v>636</v>
      </c>
      <c r="M11" s="6"/>
    </row>
    <row r="12" spans="1:16">
      <c r="A12" s="6">
        <v>4</v>
      </c>
      <c r="B12" s="6" t="s">
        <v>2496</v>
      </c>
      <c r="C12" s="6" t="s">
        <v>2217</v>
      </c>
      <c r="D12" s="6" t="s">
        <v>637</v>
      </c>
      <c r="E12" s="6" t="s">
        <v>21</v>
      </c>
      <c r="F12" s="6" t="s">
        <v>20</v>
      </c>
      <c r="G12" s="57">
        <v>1</v>
      </c>
      <c r="H12" s="58">
        <v>25000</v>
      </c>
      <c r="I12" s="58">
        <f t="shared" si="0"/>
        <v>25000</v>
      </c>
      <c r="J12" s="6" t="s">
        <v>338</v>
      </c>
      <c r="K12" s="6" t="s">
        <v>638</v>
      </c>
      <c r="L12" s="6" t="s">
        <v>639</v>
      </c>
      <c r="M12" s="6"/>
    </row>
    <row r="13" spans="1:16" ht="27.6">
      <c r="A13" s="6">
        <v>5</v>
      </c>
      <c r="B13" s="6" t="s">
        <v>2496</v>
      </c>
      <c r="C13" s="6" t="s">
        <v>2220</v>
      </c>
      <c r="D13" s="6" t="s">
        <v>640</v>
      </c>
      <c r="E13" s="6" t="s">
        <v>641</v>
      </c>
      <c r="F13" s="6" t="s">
        <v>80</v>
      </c>
      <c r="G13" s="57">
        <v>8</v>
      </c>
      <c r="H13" s="58">
        <v>12000</v>
      </c>
      <c r="I13" s="58">
        <f t="shared" si="0"/>
        <v>96000</v>
      </c>
      <c r="J13" s="6" t="s">
        <v>642</v>
      </c>
      <c r="K13" s="6" t="s">
        <v>643</v>
      </c>
      <c r="L13" s="6" t="s">
        <v>644</v>
      </c>
      <c r="M13" s="6"/>
    </row>
    <row r="14" spans="1:16" ht="27.6">
      <c r="A14" s="6">
        <v>6</v>
      </c>
      <c r="B14" s="6" t="s">
        <v>2496</v>
      </c>
      <c r="C14" s="6" t="s">
        <v>2222</v>
      </c>
      <c r="D14" s="6" t="s">
        <v>645</v>
      </c>
      <c r="E14" s="6" t="s">
        <v>646</v>
      </c>
      <c r="F14" s="6" t="s">
        <v>46</v>
      </c>
      <c r="G14" s="57">
        <v>45</v>
      </c>
      <c r="H14" s="58">
        <v>357</v>
      </c>
      <c r="I14" s="58">
        <f t="shared" si="0"/>
        <v>16065</v>
      </c>
      <c r="J14" s="6" t="s">
        <v>642</v>
      </c>
      <c r="K14" s="6" t="s">
        <v>638</v>
      </c>
      <c r="L14" s="6" t="s">
        <v>647</v>
      </c>
      <c r="M14" s="6"/>
    </row>
    <row r="15" spans="1:16">
      <c r="A15" s="6">
        <v>7</v>
      </c>
      <c r="B15" s="6" t="s">
        <v>2496</v>
      </c>
      <c r="C15" s="6" t="s">
        <v>2224</v>
      </c>
      <c r="D15" s="6" t="s">
        <v>2500</v>
      </c>
      <c r="E15" s="6" t="s">
        <v>649</v>
      </c>
      <c r="F15" s="6" t="s">
        <v>80</v>
      </c>
      <c r="G15" s="57">
        <v>8</v>
      </c>
      <c r="H15" s="58">
        <v>10209</v>
      </c>
      <c r="I15" s="58">
        <f t="shared" si="0"/>
        <v>81672</v>
      </c>
      <c r="J15" s="6" t="s">
        <v>190</v>
      </c>
      <c r="K15" s="6" t="s">
        <v>650</v>
      </c>
      <c r="L15" s="6" t="s">
        <v>651</v>
      </c>
      <c r="M15" s="6"/>
    </row>
    <row r="16" spans="1:16">
      <c r="A16" s="6">
        <v>8</v>
      </c>
      <c r="B16" s="6" t="s">
        <v>2496</v>
      </c>
      <c r="C16" s="6" t="s">
        <v>2498</v>
      </c>
      <c r="D16" s="6" t="s">
        <v>652</v>
      </c>
      <c r="E16" s="6" t="s">
        <v>653</v>
      </c>
      <c r="F16" s="6" t="s">
        <v>103</v>
      </c>
      <c r="G16" s="57">
        <v>50</v>
      </c>
      <c r="H16" s="58">
        <v>262</v>
      </c>
      <c r="I16" s="58">
        <f t="shared" si="0"/>
        <v>13100</v>
      </c>
      <c r="J16" s="6" t="s">
        <v>190</v>
      </c>
      <c r="K16" s="6" t="s">
        <v>654</v>
      </c>
      <c r="L16" s="6" t="s">
        <v>655</v>
      </c>
      <c r="M16" s="6"/>
    </row>
    <row r="17" spans="1:13">
      <c r="A17" s="6">
        <v>9</v>
      </c>
      <c r="B17" s="6" t="s">
        <v>2496</v>
      </c>
      <c r="C17" s="6" t="s">
        <v>2499</v>
      </c>
      <c r="D17" s="6" t="s">
        <v>656</v>
      </c>
      <c r="E17" s="6" t="s">
        <v>123</v>
      </c>
      <c r="F17" s="6" t="s">
        <v>121</v>
      </c>
      <c r="G17" s="57">
        <v>20</v>
      </c>
      <c r="H17" s="58">
        <v>4207</v>
      </c>
      <c r="I17" s="58">
        <f t="shared" si="0"/>
        <v>84140</v>
      </c>
      <c r="J17" s="6" t="s">
        <v>190</v>
      </c>
      <c r="K17" s="6" t="s">
        <v>657</v>
      </c>
      <c r="L17" s="6" t="s">
        <v>658</v>
      </c>
      <c r="M17" s="6"/>
    </row>
    <row r="18" spans="1:13" ht="41.4">
      <c r="A18" s="6" t="s">
        <v>659</v>
      </c>
      <c r="B18" s="6"/>
      <c r="C18" s="6"/>
      <c r="D18" s="6"/>
      <c r="E18" s="6"/>
      <c r="F18" s="6"/>
      <c r="G18" s="57"/>
      <c r="H18" s="58"/>
      <c r="I18" s="59">
        <f>SUM(I11:I17)</f>
        <v>371877</v>
      </c>
      <c r="J18" s="6"/>
      <c r="K18" s="6"/>
      <c r="L18" s="6"/>
      <c r="M18" s="6"/>
    </row>
    <row r="19" spans="1:13">
      <c r="A19" s="6"/>
      <c r="B19" s="6"/>
      <c r="C19" s="6"/>
      <c r="D19" s="6"/>
      <c r="E19" s="6"/>
      <c r="F19" s="6"/>
      <c r="G19" s="57"/>
      <c r="H19" s="58"/>
      <c r="I19" s="58"/>
      <c r="J19" s="6"/>
      <c r="K19" s="6"/>
      <c r="L19" s="6"/>
      <c r="M19" s="6"/>
    </row>
    <row r="20" spans="1:13">
      <c r="A20" s="6">
        <v>10</v>
      </c>
      <c r="B20" s="6" t="s">
        <v>2501</v>
      </c>
      <c r="C20" s="6" t="s">
        <v>2226</v>
      </c>
      <c r="D20" s="6" t="s">
        <v>661</v>
      </c>
      <c r="E20" s="6" t="s">
        <v>662</v>
      </c>
      <c r="F20" s="6" t="s">
        <v>80</v>
      </c>
      <c r="G20" s="57">
        <v>30</v>
      </c>
      <c r="H20" s="58">
        <v>3177</v>
      </c>
      <c r="I20" s="58">
        <f>G20*H20</f>
        <v>95310</v>
      </c>
      <c r="J20" s="6" t="s">
        <v>190</v>
      </c>
      <c r="K20" s="6" t="s">
        <v>663</v>
      </c>
      <c r="L20" s="6" t="s">
        <v>664</v>
      </c>
      <c r="M20" s="6"/>
    </row>
    <row r="21" spans="1:13">
      <c r="A21" s="6">
        <v>11</v>
      </c>
      <c r="B21" s="6" t="s">
        <v>2501</v>
      </c>
      <c r="C21" s="6" t="s">
        <v>2229</v>
      </c>
      <c r="D21" s="6" t="s">
        <v>665</v>
      </c>
      <c r="E21" s="6" t="s">
        <v>666</v>
      </c>
      <c r="F21" s="6" t="s">
        <v>80</v>
      </c>
      <c r="G21" s="57">
        <v>30</v>
      </c>
      <c r="H21" s="58">
        <v>444</v>
      </c>
      <c r="I21" s="58">
        <f>G21*H21</f>
        <v>13320</v>
      </c>
      <c r="J21" s="6" t="s">
        <v>190</v>
      </c>
      <c r="K21" s="6" t="s">
        <v>663</v>
      </c>
      <c r="L21" s="6" t="s">
        <v>667</v>
      </c>
      <c r="M21" s="6"/>
    </row>
    <row r="22" spans="1:13" ht="41.4">
      <c r="A22" s="6" t="s">
        <v>668</v>
      </c>
      <c r="B22" s="6"/>
      <c r="C22" s="6"/>
      <c r="D22" s="6"/>
      <c r="E22" s="6"/>
      <c r="F22" s="6"/>
      <c r="G22" s="57"/>
      <c r="H22" s="58"/>
      <c r="I22" s="59">
        <f>SUM(I20:I21)</f>
        <v>108630</v>
      </c>
      <c r="J22" s="6"/>
      <c r="K22" s="6"/>
      <c r="L22" s="6"/>
      <c r="M22" s="6"/>
    </row>
    <row r="23" spans="1:13">
      <c r="A23" s="6"/>
      <c r="B23" s="9" t="s">
        <v>669</v>
      </c>
      <c r="C23" s="9"/>
      <c r="D23" s="9" t="s">
        <v>2503</v>
      </c>
      <c r="E23" s="6"/>
      <c r="F23" s="6"/>
      <c r="G23" s="57"/>
      <c r="H23" s="58"/>
      <c r="I23" s="58"/>
      <c r="J23" s="6"/>
      <c r="K23" s="6"/>
      <c r="L23" s="6"/>
      <c r="M23" s="6"/>
    </row>
    <row r="24" spans="1:13" ht="27.6">
      <c r="A24" s="6">
        <v>12</v>
      </c>
      <c r="B24" s="6" t="s">
        <v>2502</v>
      </c>
      <c r="C24" s="6" t="s">
        <v>2234</v>
      </c>
      <c r="D24" s="6" t="s">
        <v>671</v>
      </c>
      <c r="E24" s="6" t="s">
        <v>21</v>
      </c>
      <c r="F24" s="6" t="s">
        <v>103</v>
      </c>
      <c r="G24" s="57">
        <v>100</v>
      </c>
      <c r="H24" s="58">
        <v>550</v>
      </c>
      <c r="I24" s="58">
        <f t="shared" ref="I24:I25" si="1">G24*H24</f>
        <v>55000</v>
      </c>
      <c r="J24" s="6" t="s">
        <v>338</v>
      </c>
      <c r="K24" s="6" t="s">
        <v>672</v>
      </c>
      <c r="L24" s="6" t="s">
        <v>673</v>
      </c>
      <c r="M24" s="6"/>
    </row>
    <row r="25" spans="1:13">
      <c r="A25" s="6">
        <v>13</v>
      </c>
      <c r="B25" s="6" t="s">
        <v>2502</v>
      </c>
      <c r="C25" s="6" t="s">
        <v>2237</v>
      </c>
      <c r="D25" s="6" t="s">
        <v>674</v>
      </c>
      <c r="E25" s="6" t="s">
        <v>675</v>
      </c>
      <c r="F25" s="6" t="s">
        <v>103</v>
      </c>
      <c r="G25" s="57">
        <v>20</v>
      </c>
      <c r="H25" s="58">
        <v>3219</v>
      </c>
      <c r="I25" s="58">
        <f t="shared" si="1"/>
        <v>64380</v>
      </c>
      <c r="J25" s="6" t="s">
        <v>642</v>
      </c>
      <c r="K25" s="6" t="s">
        <v>654</v>
      </c>
      <c r="L25" s="6" t="s">
        <v>676</v>
      </c>
      <c r="M25" s="6"/>
    </row>
    <row r="26" spans="1:13">
      <c r="A26" s="6"/>
      <c r="B26" s="6" t="s">
        <v>2502</v>
      </c>
      <c r="C26" s="9"/>
      <c r="D26" s="6"/>
      <c r="E26" s="6"/>
      <c r="F26" s="6"/>
      <c r="G26" s="57"/>
      <c r="H26" s="58"/>
      <c r="I26" s="58"/>
      <c r="J26" s="6"/>
      <c r="K26" s="6"/>
      <c r="L26" s="6"/>
      <c r="M26" s="6"/>
    </row>
    <row r="27" spans="1:13" ht="55.2">
      <c r="A27" s="6"/>
      <c r="B27" s="6" t="s">
        <v>2502</v>
      </c>
      <c r="C27" s="9" t="s">
        <v>2240</v>
      </c>
      <c r="D27" s="6" t="s">
        <v>677</v>
      </c>
      <c r="E27" s="6"/>
      <c r="F27" s="6" t="s">
        <v>80</v>
      </c>
      <c r="G27" s="57">
        <f>40*0.6*1</f>
        <v>24</v>
      </c>
      <c r="H27" s="58">
        <v>2371</v>
      </c>
      <c r="I27" s="58">
        <f t="shared" ref="I27:I33" si="2">G27*H27</f>
        <v>56904</v>
      </c>
      <c r="J27" s="6"/>
      <c r="K27" s="6"/>
      <c r="L27" s="6"/>
      <c r="M27" s="6"/>
    </row>
    <row r="28" spans="1:13" ht="27.6">
      <c r="A28" s="6"/>
      <c r="B28" s="6" t="s">
        <v>2502</v>
      </c>
      <c r="C28" s="9" t="s">
        <v>2243</v>
      </c>
      <c r="D28" s="6" t="s">
        <v>678</v>
      </c>
      <c r="E28" s="6"/>
      <c r="F28" s="6" t="s">
        <v>77</v>
      </c>
      <c r="G28" s="57">
        <f>40*0.75</f>
        <v>30</v>
      </c>
      <c r="H28" s="58">
        <v>1490</v>
      </c>
      <c r="I28" s="58">
        <f t="shared" si="2"/>
        <v>44700</v>
      </c>
      <c r="J28" s="6"/>
      <c r="K28" s="6"/>
      <c r="L28" s="6"/>
      <c r="M28" s="6"/>
    </row>
    <row r="29" spans="1:13">
      <c r="A29" s="6"/>
      <c r="B29" s="6"/>
      <c r="C29" s="9" t="s">
        <v>2246</v>
      </c>
      <c r="D29" s="6" t="s">
        <v>679</v>
      </c>
      <c r="E29" s="6"/>
      <c r="F29" s="6" t="s">
        <v>94</v>
      </c>
      <c r="G29" s="57">
        <f>40*1.8*0.15</f>
        <v>10.799999999999999</v>
      </c>
      <c r="H29" s="58">
        <v>34095</v>
      </c>
      <c r="I29" s="58">
        <f t="shared" si="2"/>
        <v>368225.99999999994</v>
      </c>
      <c r="J29" s="6"/>
      <c r="K29" s="6"/>
      <c r="L29" s="6"/>
      <c r="M29" s="6"/>
    </row>
    <row r="30" spans="1:13" ht="55.2">
      <c r="A30" s="6"/>
      <c r="B30" s="6"/>
      <c r="C30" s="9" t="s">
        <v>2504</v>
      </c>
      <c r="D30" s="6" t="s">
        <v>680</v>
      </c>
      <c r="E30" s="6"/>
      <c r="F30" s="6" t="s">
        <v>143</v>
      </c>
      <c r="G30" s="57">
        <f>G29*120</f>
        <v>1295.9999999999998</v>
      </c>
      <c r="H30" s="58">
        <v>459</v>
      </c>
      <c r="I30" s="58">
        <f t="shared" si="2"/>
        <v>594863.99999999988</v>
      </c>
      <c r="J30" s="6"/>
      <c r="K30" s="6"/>
      <c r="L30" s="6"/>
      <c r="M30" s="6"/>
    </row>
    <row r="31" spans="1:13">
      <c r="A31" s="6"/>
      <c r="B31" s="6"/>
      <c r="C31" s="9" t="s">
        <v>2505</v>
      </c>
      <c r="D31" s="6" t="s">
        <v>681</v>
      </c>
      <c r="E31" s="6"/>
      <c r="F31" s="6" t="s">
        <v>77</v>
      </c>
      <c r="G31" s="57">
        <v>120</v>
      </c>
      <c r="H31" s="58">
        <v>2790</v>
      </c>
      <c r="I31" s="58">
        <f t="shared" si="2"/>
        <v>334800</v>
      </c>
      <c r="J31" s="6"/>
      <c r="K31" s="6"/>
      <c r="L31" s="6"/>
      <c r="M31" s="6"/>
    </row>
    <row r="32" spans="1:13" ht="178.5" customHeight="1">
      <c r="A32" s="6"/>
      <c r="B32" s="6"/>
      <c r="C32" s="9" t="s">
        <v>2506</v>
      </c>
      <c r="D32" s="60" t="s">
        <v>2489</v>
      </c>
      <c r="E32" s="6"/>
      <c r="F32" s="6" t="s">
        <v>77</v>
      </c>
      <c r="G32" s="57">
        <v>25</v>
      </c>
      <c r="H32" s="58">
        <v>35000</v>
      </c>
      <c r="I32" s="58">
        <f t="shared" si="2"/>
        <v>875000</v>
      </c>
      <c r="J32" s="6"/>
      <c r="K32" s="6"/>
      <c r="L32" s="6"/>
      <c r="M32" s="6"/>
    </row>
    <row r="33" spans="1:13" ht="184.5" customHeight="1">
      <c r="A33" s="6"/>
      <c r="B33" s="6"/>
      <c r="C33" s="9" t="s">
        <v>2507</v>
      </c>
      <c r="D33" s="60" t="s">
        <v>2490</v>
      </c>
      <c r="E33" s="6"/>
      <c r="F33" s="6" t="s">
        <v>77</v>
      </c>
      <c r="G33" s="57">
        <f>70*0.7</f>
        <v>49</v>
      </c>
      <c r="H33" s="58">
        <v>18000</v>
      </c>
      <c r="I33" s="58">
        <f t="shared" si="2"/>
        <v>882000</v>
      </c>
      <c r="J33" s="6"/>
      <c r="K33" s="6"/>
      <c r="L33" s="6"/>
      <c r="M33" s="6"/>
    </row>
    <row r="34" spans="1:13" ht="41.4">
      <c r="A34" s="6" t="s">
        <v>682</v>
      </c>
      <c r="B34" s="6"/>
      <c r="C34" s="6"/>
      <c r="D34" s="6"/>
      <c r="E34" s="6"/>
      <c r="F34" s="6"/>
      <c r="G34" s="57"/>
      <c r="H34" s="58"/>
      <c r="I34" s="59">
        <f>SUM(I24:I33)</f>
        <v>3275874</v>
      </c>
      <c r="J34" s="6"/>
      <c r="K34" s="6"/>
      <c r="L34" s="6"/>
      <c r="M34" s="6"/>
    </row>
    <row r="35" spans="1:13">
      <c r="A35" s="6"/>
      <c r="B35" s="6"/>
      <c r="C35" s="6"/>
      <c r="D35" s="6"/>
      <c r="E35" s="6"/>
      <c r="F35" s="6"/>
      <c r="G35" s="57"/>
      <c r="H35" s="58"/>
      <c r="I35" s="58"/>
      <c r="J35" s="6"/>
      <c r="K35" s="6"/>
      <c r="L35" s="6"/>
      <c r="M35" s="6"/>
    </row>
    <row r="36" spans="1:13" ht="27.6">
      <c r="A36" s="6">
        <v>14</v>
      </c>
      <c r="B36" s="6" t="s">
        <v>683</v>
      </c>
      <c r="C36" s="6" t="s">
        <v>2248</v>
      </c>
      <c r="D36" s="6" t="s">
        <v>684</v>
      </c>
      <c r="E36" s="6" t="s">
        <v>685</v>
      </c>
      <c r="F36" s="6" t="s">
        <v>46</v>
      </c>
      <c r="G36" s="57">
        <v>700</v>
      </c>
      <c r="H36" s="58">
        <v>5136</v>
      </c>
      <c r="I36" s="58">
        <f>H36*G36</f>
        <v>3595200</v>
      </c>
      <c r="J36" s="6" t="s">
        <v>190</v>
      </c>
      <c r="K36" s="6" t="s">
        <v>686</v>
      </c>
      <c r="L36" s="6" t="s">
        <v>687</v>
      </c>
      <c r="M36" s="6"/>
    </row>
    <row r="37" spans="1:13">
      <c r="A37" s="6">
        <v>15</v>
      </c>
      <c r="B37" s="6" t="s">
        <v>683</v>
      </c>
      <c r="C37" s="6" t="s">
        <v>2508</v>
      </c>
      <c r="D37" s="6" t="s">
        <v>688</v>
      </c>
      <c r="E37" s="6" t="s">
        <v>689</v>
      </c>
      <c r="F37" s="6" t="s">
        <v>103</v>
      </c>
      <c r="G37" s="57">
        <v>90</v>
      </c>
      <c r="H37" s="58">
        <v>2713</v>
      </c>
      <c r="I37" s="58">
        <f>H37*G37</f>
        <v>244170</v>
      </c>
      <c r="J37" s="6" t="s">
        <v>190</v>
      </c>
      <c r="K37" s="6" t="s">
        <v>686</v>
      </c>
      <c r="L37" s="6" t="s">
        <v>690</v>
      </c>
      <c r="M37" s="6"/>
    </row>
    <row r="38" spans="1:13">
      <c r="A38" s="6"/>
      <c r="B38" s="6"/>
      <c r="C38" s="6"/>
      <c r="D38" s="6"/>
      <c r="E38" s="6"/>
      <c r="F38" s="6"/>
      <c r="G38" s="57"/>
      <c r="H38" s="58"/>
      <c r="I38" s="58"/>
      <c r="J38" s="6"/>
      <c r="K38" s="6"/>
      <c r="L38" s="6"/>
      <c r="M38" s="6"/>
    </row>
    <row r="39" spans="1:13" ht="41.4">
      <c r="A39" s="6" t="s">
        <v>691</v>
      </c>
      <c r="B39" s="6"/>
      <c r="C39" s="6"/>
      <c r="D39" s="6"/>
      <c r="E39" s="6"/>
      <c r="F39" s="6"/>
      <c r="G39" s="57"/>
      <c r="H39" s="58"/>
      <c r="I39" s="59">
        <f>SUM(I36:I38)</f>
        <v>3839370</v>
      </c>
      <c r="J39" s="6"/>
      <c r="K39" s="6"/>
      <c r="L39" s="6"/>
      <c r="M39" s="6"/>
    </row>
    <row r="40" spans="1:13">
      <c r="A40" s="6"/>
      <c r="B40" s="6"/>
      <c r="C40" s="6"/>
      <c r="D40" s="6"/>
      <c r="E40" s="6"/>
      <c r="F40" s="6"/>
      <c r="G40" s="57"/>
      <c r="H40" s="58"/>
      <c r="I40" s="58"/>
      <c r="J40" s="6"/>
      <c r="K40" s="6"/>
      <c r="L40" s="6"/>
      <c r="M40" s="6"/>
    </row>
    <row r="41" spans="1:13">
      <c r="A41" s="6">
        <v>16</v>
      </c>
      <c r="B41" s="6" t="s">
        <v>692</v>
      </c>
      <c r="C41" s="6" t="s">
        <v>2251</v>
      </c>
      <c r="D41" s="6" t="s">
        <v>693</v>
      </c>
      <c r="E41" s="6" t="s">
        <v>694</v>
      </c>
      <c r="F41" s="6" t="s">
        <v>46</v>
      </c>
      <c r="G41" s="57">
        <v>150</v>
      </c>
      <c r="H41" s="58">
        <v>2390</v>
      </c>
      <c r="I41" s="58">
        <f>H41*G41</f>
        <v>358500</v>
      </c>
      <c r="J41" s="6" t="s">
        <v>190</v>
      </c>
      <c r="K41" s="6" t="s">
        <v>686</v>
      </c>
      <c r="L41" s="6" t="s">
        <v>695</v>
      </c>
      <c r="M41" s="6"/>
    </row>
    <row r="42" spans="1:13">
      <c r="A42" s="6">
        <v>17</v>
      </c>
      <c r="B42" s="6" t="s">
        <v>692</v>
      </c>
      <c r="C42" s="6" t="s">
        <v>2510</v>
      </c>
      <c r="D42" s="6" t="s">
        <v>696</v>
      </c>
      <c r="E42" s="6" t="s">
        <v>697</v>
      </c>
      <c r="F42" s="6" t="s">
        <v>46</v>
      </c>
      <c r="G42" s="57">
        <v>150</v>
      </c>
      <c r="H42" s="58">
        <v>624</v>
      </c>
      <c r="I42" s="58">
        <f t="shared" ref="I42:I45" si="3">H42*G42</f>
        <v>93600</v>
      </c>
      <c r="J42" s="6" t="s">
        <v>190</v>
      </c>
      <c r="K42" s="6" t="s">
        <v>686</v>
      </c>
      <c r="L42" s="6" t="s">
        <v>698</v>
      </c>
      <c r="M42" s="6"/>
    </row>
    <row r="43" spans="1:13" ht="27.6">
      <c r="A43" s="6">
        <v>18</v>
      </c>
      <c r="B43" s="6" t="s">
        <v>692</v>
      </c>
      <c r="C43" s="6" t="s">
        <v>2511</v>
      </c>
      <c r="D43" s="6" t="s">
        <v>699</v>
      </c>
      <c r="E43" s="6" t="s">
        <v>21</v>
      </c>
      <c r="F43" s="6" t="s">
        <v>46</v>
      </c>
      <c r="G43" s="57">
        <v>40</v>
      </c>
      <c r="H43" s="58">
        <v>2400</v>
      </c>
      <c r="I43" s="58">
        <f t="shared" si="3"/>
        <v>96000</v>
      </c>
      <c r="J43" s="6" t="s">
        <v>338</v>
      </c>
      <c r="K43" s="6" t="s">
        <v>686</v>
      </c>
      <c r="L43" s="6" t="s">
        <v>700</v>
      </c>
      <c r="M43" s="6"/>
    </row>
    <row r="44" spans="1:13" ht="27.6">
      <c r="A44" s="6">
        <v>19</v>
      </c>
      <c r="B44" s="6" t="s">
        <v>692</v>
      </c>
      <c r="C44" s="6" t="s">
        <v>2512</v>
      </c>
      <c r="D44" s="6" t="s">
        <v>701</v>
      </c>
      <c r="E44" s="6" t="s">
        <v>21</v>
      </c>
      <c r="F44" s="6" t="s">
        <v>111</v>
      </c>
      <c r="G44" s="57">
        <v>15</v>
      </c>
      <c r="H44" s="58">
        <v>1100</v>
      </c>
      <c r="I44" s="58">
        <f t="shared" si="3"/>
        <v>16500</v>
      </c>
      <c r="J44" s="6" t="s">
        <v>338</v>
      </c>
      <c r="K44" s="6" t="s">
        <v>686</v>
      </c>
      <c r="L44" s="6" t="s">
        <v>702</v>
      </c>
      <c r="M44" s="6"/>
    </row>
    <row r="45" spans="1:13" ht="27.6">
      <c r="A45" s="6">
        <v>20</v>
      </c>
      <c r="B45" s="6" t="s">
        <v>692</v>
      </c>
      <c r="C45" s="6" t="s">
        <v>2513</v>
      </c>
      <c r="D45" s="6" t="s">
        <v>703</v>
      </c>
      <c r="E45" s="6" t="s">
        <v>704</v>
      </c>
      <c r="F45" s="6" t="s">
        <v>111</v>
      </c>
      <c r="G45" s="57">
        <v>5</v>
      </c>
      <c r="H45" s="58">
        <v>10270</v>
      </c>
      <c r="I45" s="58">
        <f t="shared" si="3"/>
        <v>51350</v>
      </c>
      <c r="J45" s="6" t="s">
        <v>642</v>
      </c>
      <c r="K45" s="6" t="s">
        <v>686</v>
      </c>
      <c r="L45" s="6" t="s">
        <v>705</v>
      </c>
      <c r="M45" s="6"/>
    </row>
    <row r="46" spans="1:13" ht="27.6">
      <c r="A46" s="6">
        <v>21</v>
      </c>
      <c r="B46" s="6" t="s">
        <v>692</v>
      </c>
      <c r="C46" s="6" t="s">
        <v>2514</v>
      </c>
      <c r="D46" s="6" t="s">
        <v>706</v>
      </c>
      <c r="E46" s="6" t="s">
        <v>707</v>
      </c>
      <c r="F46" s="6" t="s">
        <v>708</v>
      </c>
      <c r="G46" s="57">
        <v>3</v>
      </c>
      <c r="H46" s="58">
        <v>24570</v>
      </c>
      <c r="I46" s="58">
        <f>H46*G46</f>
        <v>73710</v>
      </c>
      <c r="J46" s="6" t="s">
        <v>190</v>
      </c>
      <c r="K46" s="6" t="s">
        <v>709</v>
      </c>
      <c r="L46" s="6" t="s">
        <v>710</v>
      </c>
      <c r="M46" s="6"/>
    </row>
    <row r="47" spans="1:13" ht="41.4">
      <c r="A47" s="6" t="s">
        <v>711</v>
      </c>
      <c r="B47" s="6"/>
      <c r="C47" s="6"/>
      <c r="D47" s="6"/>
      <c r="E47" s="6"/>
      <c r="F47" s="6"/>
      <c r="G47" s="57"/>
      <c r="H47" s="58"/>
      <c r="I47" s="59">
        <f>SUM(I41:I46)</f>
        <v>689660</v>
      </c>
      <c r="J47" s="6"/>
      <c r="K47" s="6"/>
      <c r="L47" s="6"/>
      <c r="M47" s="6"/>
    </row>
    <row r="48" spans="1:13">
      <c r="A48" s="6"/>
      <c r="B48" s="6"/>
      <c r="C48" s="6"/>
      <c r="D48" s="6"/>
      <c r="E48" s="6"/>
      <c r="F48" s="6"/>
      <c r="G48" s="57"/>
      <c r="H48" s="58"/>
      <c r="I48" s="58"/>
      <c r="J48" s="6"/>
      <c r="K48" s="6"/>
      <c r="L48" s="6"/>
      <c r="M48" s="6"/>
    </row>
    <row r="49" spans="1:13" ht="27.6">
      <c r="A49" s="6">
        <v>22</v>
      </c>
      <c r="B49" s="6" t="s">
        <v>712</v>
      </c>
      <c r="C49" s="6" t="s">
        <v>2509</v>
      </c>
      <c r="D49" s="6" t="s">
        <v>713</v>
      </c>
      <c r="E49" s="6" t="s">
        <v>21</v>
      </c>
      <c r="F49" s="6" t="s">
        <v>619</v>
      </c>
      <c r="G49" s="57">
        <v>1</v>
      </c>
      <c r="H49" s="58">
        <v>120000</v>
      </c>
      <c r="I49" s="58">
        <f>G49*H49</f>
        <v>120000</v>
      </c>
      <c r="J49" s="6" t="s">
        <v>338</v>
      </c>
      <c r="K49" s="6" t="s">
        <v>714</v>
      </c>
      <c r="L49" s="6" t="s">
        <v>715</v>
      </c>
      <c r="M49" s="6"/>
    </row>
    <row r="50" spans="1:13" ht="27.6">
      <c r="A50" s="6">
        <v>23</v>
      </c>
      <c r="B50" s="6" t="s">
        <v>712</v>
      </c>
      <c r="C50" s="6" t="s">
        <v>2515</v>
      </c>
      <c r="D50" s="6" t="s">
        <v>716</v>
      </c>
      <c r="E50" s="6" t="s">
        <v>21</v>
      </c>
      <c r="F50" s="6" t="s">
        <v>619</v>
      </c>
      <c r="G50" s="57">
        <v>1</v>
      </c>
      <c r="H50" s="58">
        <v>150000</v>
      </c>
      <c r="I50" s="58">
        <f>G50*H50</f>
        <v>150000</v>
      </c>
      <c r="J50" s="6" t="s">
        <v>338</v>
      </c>
      <c r="K50" s="6" t="s">
        <v>717</v>
      </c>
      <c r="L50" s="6" t="s">
        <v>718</v>
      </c>
      <c r="M50" s="6"/>
    </row>
    <row r="51" spans="1:13" ht="41.4">
      <c r="A51" s="6" t="s">
        <v>719</v>
      </c>
      <c r="B51" s="6"/>
      <c r="C51" s="6"/>
      <c r="D51" s="6"/>
      <c r="E51" s="6"/>
      <c r="F51" s="6"/>
      <c r="G51" s="57"/>
      <c r="H51" s="58"/>
      <c r="I51" s="58">
        <f>SUM(I49:I50)</f>
        <v>270000</v>
      </c>
      <c r="J51" s="6"/>
      <c r="K51" s="6"/>
      <c r="L51" s="6"/>
      <c r="M51" s="6"/>
    </row>
    <row r="52" spans="1:13">
      <c r="A52" s="6"/>
      <c r="B52" s="6"/>
      <c r="C52" s="6"/>
      <c r="D52" s="6"/>
      <c r="E52" s="6"/>
      <c r="F52" s="6"/>
      <c r="G52" s="57"/>
      <c r="H52" s="58"/>
      <c r="I52" s="58"/>
      <c r="J52" s="6"/>
      <c r="K52" s="6"/>
      <c r="L52" s="6"/>
      <c r="M52" s="6"/>
    </row>
    <row r="53" spans="1:13">
      <c r="A53" s="8" t="s">
        <v>720</v>
      </c>
      <c r="E53" s="6"/>
      <c r="F53" s="6"/>
      <c r="G53" s="57"/>
      <c r="H53" s="58"/>
      <c r="I53" s="59">
        <f>I51+I47+I39+I34+I22+I18+I9</f>
        <v>8880411</v>
      </c>
      <c r="J53" s="6"/>
      <c r="K53" s="6"/>
      <c r="L53" s="6"/>
      <c r="M53" s="6"/>
    </row>
  </sheetData>
  <mergeCells count="3">
    <mergeCell ref="A1:K1"/>
    <mergeCell ref="A2:K2"/>
    <mergeCell ref="A3:K3"/>
  </mergeCells>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0"/>
  <sheetViews>
    <sheetView topLeftCell="A6" workbookViewId="0">
      <selection activeCell="C42" sqref="C42"/>
    </sheetView>
  </sheetViews>
  <sheetFormatPr defaultColWidth="8.69921875" defaultRowHeight="13.8"/>
  <cols>
    <col min="1" max="1" width="10" style="8" customWidth="1"/>
    <col min="2" max="2" width="26" style="8" hidden="1" customWidth="1"/>
    <col min="3" max="3" width="45" style="8" customWidth="1"/>
    <col min="4" max="4" width="54" style="8" customWidth="1"/>
    <col min="5" max="5" width="10" style="8" customWidth="1"/>
    <col min="6" max="6" width="13" style="8" customWidth="1"/>
    <col min="7" max="8" width="18" style="8" customWidth="1"/>
    <col min="9" max="10" width="48" style="8" customWidth="1"/>
    <col min="11" max="16384" width="8.69921875" style="8"/>
  </cols>
  <sheetData>
    <row r="1" spans="1:10">
      <c r="A1" s="9" t="s">
        <v>6</v>
      </c>
      <c r="B1" s="9" t="s">
        <v>5</v>
      </c>
      <c r="C1" s="9" t="s">
        <v>7</v>
      </c>
      <c r="D1" s="9" t="s">
        <v>721</v>
      </c>
      <c r="E1" s="9" t="s">
        <v>8</v>
      </c>
      <c r="F1" s="9" t="s">
        <v>722</v>
      </c>
      <c r="G1" s="9" t="s">
        <v>723</v>
      </c>
      <c r="H1" s="9" t="s">
        <v>11</v>
      </c>
      <c r="I1" s="9" t="s">
        <v>724</v>
      </c>
      <c r="J1" s="9" t="s">
        <v>725</v>
      </c>
    </row>
    <row r="2" spans="1:10" ht="41.4">
      <c r="A2" s="6" t="s">
        <v>18</v>
      </c>
      <c r="B2" s="6" t="s">
        <v>726</v>
      </c>
      <c r="C2" s="6" t="s">
        <v>727</v>
      </c>
      <c r="D2" s="6" t="s">
        <v>728</v>
      </c>
      <c r="E2" s="6" t="s">
        <v>46</v>
      </c>
      <c r="F2" s="57">
        <v>345.95190000000002</v>
      </c>
      <c r="G2" s="58">
        <v>48000</v>
      </c>
      <c r="H2" s="58">
        <f t="shared" ref="H2:H11" si="0">F2*G2</f>
        <v>16605691.200000001</v>
      </c>
      <c r="I2" s="6" t="s">
        <v>729</v>
      </c>
      <c r="J2" s="6" t="s">
        <v>730</v>
      </c>
    </row>
    <row r="3" spans="1:10" ht="27.6">
      <c r="A3" s="6" t="s">
        <v>25</v>
      </c>
      <c r="B3" s="6" t="s">
        <v>726</v>
      </c>
      <c r="C3" s="6" t="s">
        <v>731</v>
      </c>
      <c r="D3" s="6" t="s">
        <v>732</v>
      </c>
      <c r="E3" s="6" t="s">
        <v>46</v>
      </c>
      <c r="F3" s="57">
        <v>197</v>
      </c>
      <c r="G3" s="58">
        <v>48000</v>
      </c>
      <c r="H3" s="58">
        <f t="shared" si="0"/>
        <v>9456000</v>
      </c>
      <c r="I3" s="6" t="s">
        <v>733</v>
      </c>
      <c r="J3" s="6" t="s">
        <v>730</v>
      </c>
    </row>
    <row r="4" spans="1:10" ht="27.6">
      <c r="A4" s="6" t="s">
        <v>30</v>
      </c>
      <c r="B4" s="6" t="s">
        <v>726</v>
      </c>
      <c r="C4" s="6" t="s">
        <v>734</v>
      </c>
      <c r="D4" s="6" t="s">
        <v>735</v>
      </c>
      <c r="E4" s="6" t="s">
        <v>46</v>
      </c>
      <c r="F4" s="57">
        <v>131.19120000000001</v>
      </c>
      <c r="G4" s="58">
        <v>42000</v>
      </c>
      <c r="H4" s="58">
        <f t="shared" si="0"/>
        <v>5510030.4000000004</v>
      </c>
      <c r="I4" s="6" t="s">
        <v>736</v>
      </c>
      <c r="J4" s="6" t="s">
        <v>730</v>
      </c>
    </row>
    <row r="5" spans="1:10" ht="27.6">
      <c r="A5" s="6" t="s">
        <v>35</v>
      </c>
      <c r="B5" s="6" t="s">
        <v>726</v>
      </c>
      <c r="C5" s="6" t="s">
        <v>737</v>
      </c>
      <c r="D5" s="6" t="s">
        <v>738</v>
      </c>
      <c r="E5" s="6" t="s">
        <v>46</v>
      </c>
      <c r="F5" s="57">
        <v>33.685312500000002</v>
      </c>
      <c r="G5" s="58">
        <v>42000</v>
      </c>
      <c r="H5" s="58">
        <f t="shared" si="0"/>
        <v>1414783.125</v>
      </c>
      <c r="I5" s="6" t="s">
        <v>739</v>
      </c>
      <c r="J5" s="6" t="s">
        <v>730</v>
      </c>
    </row>
    <row r="6" spans="1:10" ht="41.4">
      <c r="A6" s="6" t="s">
        <v>40</v>
      </c>
      <c r="B6" s="6" t="s">
        <v>726</v>
      </c>
      <c r="C6" s="6" t="s">
        <v>740</v>
      </c>
      <c r="D6" s="6" t="s">
        <v>741</v>
      </c>
      <c r="E6" s="6" t="s">
        <v>46</v>
      </c>
      <c r="F6" s="57">
        <v>197.30326350000001</v>
      </c>
      <c r="G6" s="58">
        <v>15000</v>
      </c>
      <c r="H6" s="58">
        <f t="shared" si="0"/>
        <v>2959548.9525000001</v>
      </c>
      <c r="I6" s="6" t="s">
        <v>742</v>
      </c>
      <c r="J6" s="6" t="s">
        <v>743</v>
      </c>
    </row>
    <row r="7" spans="1:10" ht="41.4">
      <c r="A7" s="6" t="s">
        <v>44</v>
      </c>
      <c r="B7" s="6" t="s">
        <v>726</v>
      </c>
      <c r="C7" s="6" t="s">
        <v>744</v>
      </c>
      <c r="D7" s="6" t="s">
        <v>745</v>
      </c>
      <c r="E7" s="6" t="s">
        <v>46</v>
      </c>
      <c r="F7" s="57">
        <v>33.685312500000002</v>
      </c>
      <c r="G7" s="58">
        <v>13500</v>
      </c>
      <c r="H7" s="58">
        <f t="shared" si="0"/>
        <v>454751.71875</v>
      </c>
      <c r="I7" s="6" t="s">
        <v>746</v>
      </c>
      <c r="J7" s="6" t="s">
        <v>743</v>
      </c>
    </row>
    <row r="8" spans="1:10" ht="27.6">
      <c r="A8" s="6" t="s">
        <v>50</v>
      </c>
      <c r="B8" s="6" t="s">
        <v>726</v>
      </c>
      <c r="C8" s="6" t="s">
        <v>747</v>
      </c>
      <c r="D8" s="6" t="s">
        <v>748</v>
      </c>
      <c r="E8" s="6" t="s">
        <v>20</v>
      </c>
      <c r="F8" s="57">
        <v>1</v>
      </c>
      <c r="G8" s="58">
        <v>1800000</v>
      </c>
      <c r="H8" s="58">
        <f t="shared" si="0"/>
        <v>1800000</v>
      </c>
      <c r="I8" s="6" t="s">
        <v>749</v>
      </c>
      <c r="J8" s="6" t="s">
        <v>750</v>
      </c>
    </row>
    <row r="9" spans="1:10" ht="27.6">
      <c r="A9" s="6" t="s">
        <v>55</v>
      </c>
      <c r="B9" s="6" t="s">
        <v>726</v>
      </c>
      <c r="C9" s="6" t="s">
        <v>751</v>
      </c>
      <c r="D9" s="6" t="s">
        <v>752</v>
      </c>
      <c r="E9" s="6" t="s">
        <v>753</v>
      </c>
      <c r="F9" s="57">
        <v>4</v>
      </c>
      <c r="G9" s="58">
        <v>850000</v>
      </c>
      <c r="H9" s="58">
        <f t="shared" si="0"/>
        <v>3400000</v>
      </c>
      <c r="I9" s="6" t="s">
        <v>754</v>
      </c>
      <c r="J9" s="6" t="s">
        <v>657</v>
      </c>
    </row>
    <row r="10" spans="1:10" ht="27.6">
      <c r="A10" s="6" t="s">
        <v>63</v>
      </c>
      <c r="B10" s="6" t="s">
        <v>755</v>
      </c>
      <c r="C10" s="6" t="s">
        <v>756</v>
      </c>
      <c r="D10" s="6" t="s">
        <v>757</v>
      </c>
      <c r="E10" s="6" t="s">
        <v>753</v>
      </c>
      <c r="F10" s="57">
        <v>4</v>
      </c>
      <c r="G10" s="58">
        <v>1200000</v>
      </c>
      <c r="H10" s="58">
        <f t="shared" si="0"/>
        <v>4800000</v>
      </c>
      <c r="I10" s="6" t="s">
        <v>758</v>
      </c>
      <c r="J10" s="6" t="s">
        <v>759</v>
      </c>
    </row>
    <row r="11" spans="1:10" ht="27.6">
      <c r="A11" s="6" t="s">
        <v>69</v>
      </c>
      <c r="B11" s="6" t="s">
        <v>755</v>
      </c>
      <c r="C11" s="6" t="s">
        <v>760</v>
      </c>
      <c r="D11" s="6" t="s">
        <v>761</v>
      </c>
      <c r="E11" s="6" t="s">
        <v>753</v>
      </c>
      <c r="F11" s="57">
        <v>2</v>
      </c>
      <c r="G11" s="58">
        <v>480000</v>
      </c>
      <c r="H11" s="58">
        <f t="shared" si="0"/>
        <v>960000</v>
      </c>
      <c r="I11" s="6" t="s">
        <v>762</v>
      </c>
      <c r="J11" s="6" t="s">
        <v>763</v>
      </c>
    </row>
    <row r="12" spans="1:10">
      <c r="A12" s="6"/>
      <c r="B12" s="6" t="s">
        <v>755</v>
      </c>
      <c r="C12" s="6" t="s">
        <v>764</v>
      </c>
      <c r="D12" s="6"/>
      <c r="E12" s="6"/>
      <c r="F12" s="57">
        <v>3</v>
      </c>
      <c r="G12" s="58">
        <v>480000</v>
      </c>
      <c r="H12" s="58">
        <f>F12*G12</f>
        <v>1440000</v>
      </c>
      <c r="I12" s="6"/>
      <c r="J12" s="6"/>
    </row>
    <row r="13" spans="1:10" ht="27.6">
      <c r="A13" s="6" t="s">
        <v>75</v>
      </c>
      <c r="B13" s="6" t="s">
        <v>755</v>
      </c>
      <c r="C13" s="6" t="s">
        <v>765</v>
      </c>
      <c r="D13" s="6" t="s">
        <v>766</v>
      </c>
      <c r="E13" s="6" t="s">
        <v>753</v>
      </c>
      <c r="F13" s="57">
        <v>12</v>
      </c>
      <c r="G13" s="58">
        <v>95000</v>
      </c>
      <c r="H13" s="58">
        <f>F13*G13</f>
        <v>1140000</v>
      </c>
      <c r="I13" s="6" t="s">
        <v>767</v>
      </c>
      <c r="J13" s="6" t="s">
        <v>768</v>
      </c>
    </row>
    <row r="14" spans="1:10" ht="27.6">
      <c r="A14" s="6" t="s">
        <v>78</v>
      </c>
      <c r="B14" s="6" t="s">
        <v>755</v>
      </c>
      <c r="C14" s="6" t="s">
        <v>769</v>
      </c>
      <c r="D14" s="6" t="s">
        <v>770</v>
      </c>
      <c r="E14" s="6" t="s">
        <v>753</v>
      </c>
      <c r="F14" s="57">
        <v>4</v>
      </c>
      <c r="G14" s="58">
        <v>350000</v>
      </c>
      <c r="H14" s="58">
        <f>F14*G14</f>
        <v>1400000</v>
      </c>
      <c r="I14" s="6" t="s">
        <v>771</v>
      </c>
      <c r="J14" s="6" t="s">
        <v>657</v>
      </c>
    </row>
    <row r="15" spans="1:10" ht="27.6">
      <c r="A15" s="6" t="s">
        <v>84</v>
      </c>
      <c r="B15" s="6" t="s">
        <v>755</v>
      </c>
      <c r="C15" s="6" t="s">
        <v>772</v>
      </c>
      <c r="D15" s="6" t="s">
        <v>773</v>
      </c>
      <c r="E15" s="6" t="s">
        <v>753</v>
      </c>
      <c r="F15" s="57">
        <v>16</v>
      </c>
      <c r="G15" s="58">
        <v>95000</v>
      </c>
      <c r="H15" s="58">
        <f t="shared" ref="H15:H37" si="1">F15*G15</f>
        <v>1520000</v>
      </c>
      <c r="I15" s="6" t="s">
        <v>774</v>
      </c>
      <c r="J15" s="6" t="s">
        <v>657</v>
      </c>
    </row>
    <row r="16" spans="1:10" ht="27.6">
      <c r="A16" s="6" t="s">
        <v>129</v>
      </c>
      <c r="B16" s="6" t="s">
        <v>775</v>
      </c>
      <c r="C16" s="6" t="s">
        <v>776</v>
      </c>
      <c r="D16" s="6" t="s">
        <v>777</v>
      </c>
      <c r="E16" s="6" t="s">
        <v>753</v>
      </c>
      <c r="F16" s="57">
        <v>3</v>
      </c>
      <c r="G16" s="58">
        <v>750000</v>
      </c>
      <c r="H16" s="58">
        <f t="shared" si="1"/>
        <v>2250000</v>
      </c>
      <c r="I16" s="6" t="s">
        <v>778</v>
      </c>
      <c r="J16" s="6" t="s">
        <v>779</v>
      </c>
    </row>
    <row r="17" spans="1:10" ht="41.4">
      <c r="A17" s="6" t="s">
        <v>134</v>
      </c>
      <c r="B17" s="6" t="s">
        <v>775</v>
      </c>
      <c r="C17" s="6" t="s">
        <v>780</v>
      </c>
      <c r="D17" s="6" t="s">
        <v>781</v>
      </c>
      <c r="E17" s="6" t="s">
        <v>753</v>
      </c>
      <c r="F17" s="57">
        <v>4</v>
      </c>
      <c r="G17" s="58">
        <v>250000</v>
      </c>
      <c r="H17" s="58">
        <f t="shared" si="1"/>
        <v>1000000</v>
      </c>
      <c r="I17" s="6" t="s">
        <v>782</v>
      </c>
      <c r="J17" s="6" t="s">
        <v>783</v>
      </c>
    </row>
    <row r="18" spans="1:10">
      <c r="A18" s="6" t="s">
        <v>139</v>
      </c>
      <c r="B18" s="6" t="s">
        <v>775</v>
      </c>
      <c r="C18" s="6" t="s">
        <v>784</v>
      </c>
      <c r="D18" s="6" t="s">
        <v>785</v>
      </c>
      <c r="E18" s="6" t="s">
        <v>753</v>
      </c>
      <c r="F18" s="57">
        <v>12</v>
      </c>
      <c r="G18" s="58">
        <v>325000</v>
      </c>
      <c r="H18" s="58">
        <f t="shared" si="1"/>
        <v>3900000</v>
      </c>
      <c r="I18" s="6" t="s">
        <v>786</v>
      </c>
      <c r="J18" s="6" t="s">
        <v>657</v>
      </c>
    </row>
    <row r="19" spans="1:10" ht="27.6">
      <c r="A19" s="6" t="s">
        <v>141</v>
      </c>
      <c r="B19" s="6" t="s">
        <v>775</v>
      </c>
      <c r="C19" s="6" t="s">
        <v>787</v>
      </c>
      <c r="D19" s="6" t="s">
        <v>788</v>
      </c>
      <c r="E19" s="6" t="s">
        <v>753</v>
      </c>
      <c r="F19" s="57">
        <v>4</v>
      </c>
      <c r="G19" s="58">
        <v>175000</v>
      </c>
      <c r="H19" s="58">
        <f t="shared" si="1"/>
        <v>700000</v>
      </c>
      <c r="I19" s="6" t="s">
        <v>789</v>
      </c>
      <c r="J19" s="6" t="s">
        <v>657</v>
      </c>
    </row>
    <row r="20" spans="1:10" ht="27.6">
      <c r="A20" s="6" t="s">
        <v>147</v>
      </c>
      <c r="B20" s="6" t="s">
        <v>775</v>
      </c>
      <c r="C20" s="6" t="s">
        <v>790</v>
      </c>
      <c r="D20" s="6" t="s">
        <v>791</v>
      </c>
      <c r="E20" s="6" t="s">
        <v>753</v>
      </c>
      <c r="F20" s="57">
        <v>4</v>
      </c>
      <c r="G20" s="58">
        <v>850000</v>
      </c>
      <c r="H20" s="58">
        <f t="shared" si="1"/>
        <v>3400000</v>
      </c>
      <c r="I20" s="6" t="s">
        <v>792</v>
      </c>
      <c r="J20" s="6" t="s">
        <v>793</v>
      </c>
    </row>
    <row r="21" spans="1:10" ht="27.6">
      <c r="A21" s="6" t="s">
        <v>156</v>
      </c>
      <c r="B21" s="6" t="s">
        <v>775</v>
      </c>
      <c r="C21" s="6" t="s">
        <v>794</v>
      </c>
      <c r="D21" s="6" t="s">
        <v>795</v>
      </c>
      <c r="E21" s="6" t="s">
        <v>753</v>
      </c>
      <c r="F21" s="57">
        <v>40</v>
      </c>
      <c r="G21" s="58">
        <v>85000</v>
      </c>
      <c r="H21" s="58">
        <f t="shared" si="1"/>
        <v>3400000</v>
      </c>
      <c r="I21" s="6" t="s">
        <v>796</v>
      </c>
      <c r="J21" s="6" t="s">
        <v>797</v>
      </c>
    </row>
    <row r="22" spans="1:10" ht="27.6">
      <c r="A22" s="6" t="s">
        <v>160</v>
      </c>
      <c r="B22" s="6" t="s">
        <v>775</v>
      </c>
      <c r="C22" s="6" t="s">
        <v>798</v>
      </c>
      <c r="D22" s="6" t="s">
        <v>799</v>
      </c>
      <c r="E22" s="6" t="s">
        <v>753</v>
      </c>
      <c r="F22" s="57">
        <v>4</v>
      </c>
      <c r="G22" s="58">
        <v>1500000</v>
      </c>
      <c r="H22" s="58">
        <f t="shared" si="1"/>
        <v>6000000</v>
      </c>
      <c r="I22" s="6" t="s">
        <v>800</v>
      </c>
      <c r="J22" s="6" t="s">
        <v>801</v>
      </c>
    </row>
    <row r="23" spans="1:10" ht="27.6">
      <c r="A23" s="6" t="s">
        <v>165</v>
      </c>
      <c r="B23" s="6" t="s">
        <v>775</v>
      </c>
      <c r="C23" s="6" t="s">
        <v>802</v>
      </c>
      <c r="D23" s="6" t="s">
        <v>803</v>
      </c>
      <c r="E23" s="6" t="s">
        <v>753</v>
      </c>
      <c r="F23" s="57">
        <v>4</v>
      </c>
      <c r="G23" s="58">
        <v>1600000</v>
      </c>
      <c r="H23" s="58">
        <f t="shared" si="1"/>
        <v>6400000</v>
      </c>
      <c r="I23" s="6" t="s">
        <v>804</v>
      </c>
      <c r="J23" s="6" t="s">
        <v>805</v>
      </c>
    </row>
    <row r="24" spans="1:10" ht="27.6">
      <c r="A24" s="6" t="s">
        <v>170</v>
      </c>
      <c r="B24" s="6" t="s">
        <v>775</v>
      </c>
      <c r="C24" s="6" t="s">
        <v>806</v>
      </c>
      <c r="D24" s="6" t="s">
        <v>807</v>
      </c>
      <c r="E24" s="6" t="s">
        <v>753</v>
      </c>
      <c r="F24" s="57">
        <v>4</v>
      </c>
      <c r="G24" s="58">
        <v>1200000</v>
      </c>
      <c r="H24" s="58">
        <f t="shared" si="1"/>
        <v>4800000</v>
      </c>
      <c r="I24" s="6" t="s">
        <v>808</v>
      </c>
      <c r="J24" s="6" t="s">
        <v>657</v>
      </c>
    </row>
    <row r="25" spans="1:10" ht="41.4">
      <c r="A25" s="6" t="s">
        <v>183</v>
      </c>
      <c r="B25" s="6" t="s">
        <v>809</v>
      </c>
      <c r="C25" s="6" t="s">
        <v>810</v>
      </c>
      <c r="D25" s="6" t="s">
        <v>811</v>
      </c>
      <c r="E25" s="6" t="s">
        <v>753</v>
      </c>
      <c r="F25" s="57">
        <v>4</v>
      </c>
      <c r="G25" s="58">
        <v>1850000</v>
      </c>
      <c r="H25" s="58">
        <f t="shared" si="1"/>
        <v>7400000</v>
      </c>
      <c r="I25" s="6" t="s">
        <v>812</v>
      </c>
      <c r="J25" s="6" t="s">
        <v>813</v>
      </c>
    </row>
    <row r="26" spans="1:10" ht="41.4">
      <c r="A26" s="6" t="s">
        <v>188</v>
      </c>
      <c r="B26" s="6" t="s">
        <v>809</v>
      </c>
      <c r="C26" s="6" t="s">
        <v>814</v>
      </c>
      <c r="D26" s="6" t="s">
        <v>815</v>
      </c>
      <c r="E26" s="6" t="s">
        <v>753</v>
      </c>
      <c r="F26" s="57">
        <v>4</v>
      </c>
      <c r="G26" s="58">
        <v>3200000</v>
      </c>
      <c r="H26" s="58">
        <f t="shared" si="1"/>
        <v>12800000</v>
      </c>
      <c r="I26" s="6" t="s">
        <v>816</v>
      </c>
      <c r="J26" s="6" t="s">
        <v>817</v>
      </c>
    </row>
    <row r="27" spans="1:10" ht="27.6">
      <c r="A27" s="6" t="s">
        <v>193</v>
      </c>
      <c r="B27" s="6" t="s">
        <v>809</v>
      </c>
      <c r="C27" s="6" t="s">
        <v>818</v>
      </c>
      <c r="D27" s="6" t="s">
        <v>819</v>
      </c>
      <c r="E27" s="6" t="s">
        <v>753</v>
      </c>
      <c r="F27" s="57">
        <v>4</v>
      </c>
      <c r="G27" s="58">
        <v>850000</v>
      </c>
      <c r="H27" s="58">
        <f t="shared" si="1"/>
        <v>3400000</v>
      </c>
      <c r="I27" s="6" t="s">
        <v>820</v>
      </c>
      <c r="J27" s="6" t="s">
        <v>657</v>
      </c>
    </row>
    <row r="28" spans="1:10" ht="27.6">
      <c r="A28" s="6" t="s">
        <v>198</v>
      </c>
      <c r="B28" s="6" t="s">
        <v>809</v>
      </c>
      <c r="C28" s="6" t="s">
        <v>821</v>
      </c>
      <c r="D28" s="6" t="s">
        <v>822</v>
      </c>
      <c r="E28" s="6" t="s">
        <v>20</v>
      </c>
      <c r="F28" s="57">
        <v>4</v>
      </c>
      <c r="G28" s="58">
        <v>2200000</v>
      </c>
      <c r="H28" s="58">
        <f t="shared" si="1"/>
        <v>8800000</v>
      </c>
      <c r="I28" s="6" t="s">
        <v>823</v>
      </c>
      <c r="J28" s="6" t="s">
        <v>657</v>
      </c>
    </row>
    <row r="29" spans="1:10" ht="27.6">
      <c r="A29" s="6" t="s">
        <v>203</v>
      </c>
      <c r="B29" s="6" t="s">
        <v>809</v>
      </c>
      <c r="C29" s="6" t="s">
        <v>824</v>
      </c>
      <c r="D29" s="6" t="s">
        <v>825</v>
      </c>
      <c r="E29" s="6" t="s">
        <v>753</v>
      </c>
      <c r="F29" s="57">
        <v>4</v>
      </c>
      <c r="G29" s="58">
        <v>450000</v>
      </c>
      <c r="H29" s="58">
        <f t="shared" si="1"/>
        <v>1800000</v>
      </c>
      <c r="I29" s="6" t="s">
        <v>826</v>
      </c>
      <c r="J29" s="6" t="s">
        <v>657</v>
      </c>
    </row>
    <row r="30" spans="1:10" ht="27.6">
      <c r="A30" s="6" t="s">
        <v>208</v>
      </c>
      <c r="B30" s="6" t="s">
        <v>809</v>
      </c>
      <c r="C30" s="6" t="s">
        <v>827</v>
      </c>
      <c r="D30" s="6" t="s">
        <v>828</v>
      </c>
      <c r="E30" s="6" t="s">
        <v>20</v>
      </c>
      <c r="F30" s="57">
        <v>1</v>
      </c>
      <c r="G30" s="58">
        <v>1600000</v>
      </c>
      <c r="H30" s="58">
        <f t="shared" si="1"/>
        <v>1600000</v>
      </c>
      <c r="I30" s="6" t="s">
        <v>829</v>
      </c>
      <c r="J30" s="6" t="s">
        <v>657</v>
      </c>
    </row>
    <row r="31" spans="1:10" ht="27.6">
      <c r="A31" s="6" t="s">
        <v>215</v>
      </c>
      <c r="B31" s="6" t="s">
        <v>830</v>
      </c>
      <c r="C31" s="6" t="s">
        <v>831</v>
      </c>
      <c r="D31" s="6" t="s">
        <v>832</v>
      </c>
      <c r="E31" s="6" t="s">
        <v>753</v>
      </c>
      <c r="F31" s="57">
        <v>4</v>
      </c>
      <c r="G31" s="58">
        <v>3250000</v>
      </c>
      <c r="H31" s="58">
        <f t="shared" si="1"/>
        <v>13000000</v>
      </c>
      <c r="I31" s="6" t="s">
        <v>833</v>
      </c>
      <c r="J31" s="6" t="s">
        <v>834</v>
      </c>
    </row>
    <row r="32" spans="1:10" ht="27.6">
      <c r="A32" s="6" t="s">
        <v>221</v>
      </c>
      <c r="B32" s="6" t="s">
        <v>830</v>
      </c>
      <c r="C32" s="6" t="s">
        <v>835</v>
      </c>
      <c r="D32" s="6" t="s">
        <v>836</v>
      </c>
      <c r="E32" s="6" t="s">
        <v>753</v>
      </c>
      <c r="F32" s="57">
        <v>16</v>
      </c>
      <c r="G32" s="58">
        <v>120000</v>
      </c>
      <c r="H32" s="58">
        <f t="shared" si="1"/>
        <v>1920000</v>
      </c>
      <c r="I32" s="6" t="s">
        <v>837</v>
      </c>
      <c r="J32" s="6" t="s">
        <v>657</v>
      </c>
    </row>
    <row r="33" spans="1:10" ht="27.6">
      <c r="A33" s="6" t="s">
        <v>227</v>
      </c>
      <c r="B33" s="6" t="s">
        <v>830</v>
      </c>
      <c r="C33" s="6" t="s">
        <v>838</v>
      </c>
      <c r="D33" s="6" t="s">
        <v>839</v>
      </c>
      <c r="E33" s="6" t="s">
        <v>753</v>
      </c>
      <c r="F33" s="57">
        <v>8</v>
      </c>
      <c r="G33" s="58">
        <v>180000</v>
      </c>
      <c r="H33" s="58">
        <f t="shared" si="1"/>
        <v>1440000</v>
      </c>
      <c r="I33" s="6" t="s">
        <v>840</v>
      </c>
      <c r="J33" s="6" t="s">
        <v>841</v>
      </c>
    </row>
    <row r="34" spans="1:10" ht="27.6">
      <c r="A34" s="6" t="s">
        <v>231</v>
      </c>
      <c r="B34" s="6" t="s">
        <v>830</v>
      </c>
      <c r="C34" s="6" t="s">
        <v>842</v>
      </c>
      <c r="D34" s="6" t="s">
        <v>843</v>
      </c>
      <c r="E34" s="6" t="s">
        <v>753</v>
      </c>
      <c r="F34" s="57">
        <v>4</v>
      </c>
      <c r="G34" s="58">
        <v>450000</v>
      </c>
      <c r="H34" s="58">
        <f t="shared" si="1"/>
        <v>1800000</v>
      </c>
      <c r="I34" s="6" t="s">
        <v>844</v>
      </c>
      <c r="J34" s="6" t="s">
        <v>657</v>
      </c>
    </row>
    <row r="35" spans="1:10" ht="27.6">
      <c r="A35" s="6" t="s">
        <v>236</v>
      </c>
      <c r="B35" s="6" t="s">
        <v>830</v>
      </c>
      <c r="C35" s="6" t="s">
        <v>845</v>
      </c>
      <c r="D35" s="6" t="s">
        <v>846</v>
      </c>
      <c r="E35" s="6" t="s">
        <v>753</v>
      </c>
      <c r="F35" s="57">
        <v>4</v>
      </c>
      <c r="G35" s="58">
        <v>350000</v>
      </c>
      <c r="H35" s="58">
        <f t="shared" si="1"/>
        <v>1400000</v>
      </c>
      <c r="I35" s="6" t="s">
        <v>847</v>
      </c>
      <c r="J35" s="6" t="s">
        <v>657</v>
      </c>
    </row>
    <row r="36" spans="1:10" ht="27.6">
      <c r="A36" s="6" t="s">
        <v>271</v>
      </c>
      <c r="B36" s="6" t="s">
        <v>848</v>
      </c>
      <c r="C36" s="6" t="s">
        <v>849</v>
      </c>
      <c r="D36" s="6" t="s">
        <v>850</v>
      </c>
      <c r="E36" s="6" t="s">
        <v>753</v>
      </c>
      <c r="F36" s="57">
        <v>4</v>
      </c>
      <c r="G36" s="58">
        <v>650000</v>
      </c>
      <c r="H36" s="58">
        <f t="shared" si="1"/>
        <v>2600000</v>
      </c>
      <c r="I36" s="6" t="s">
        <v>851</v>
      </c>
      <c r="J36" s="6" t="s">
        <v>852</v>
      </c>
    </row>
    <row r="37" spans="1:10" ht="27.6">
      <c r="A37" s="6" t="s">
        <v>276</v>
      </c>
      <c r="B37" s="6" t="s">
        <v>848</v>
      </c>
      <c r="C37" s="6" t="s">
        <v>853</v>
      </c>
      <c r="D37" s="6" t="s">
        <v>854</v>
      </c>
      <c r="E37" s="6" t="s">
        <v>20</v>
      </c>
      <c r="F37" s="57">
        <v>1</v>
      </c>
      <c r="G37" s="58">
        <v>2200000</v>
      </c>
      <c r="H37" s="58">
        <f t="shared" si="1"/>
        <v>2200000</v>
      </c>
      <c r="I37" s="6" t="s">
        <v>855</v>
      </c>
      <c r="J37" s="6" t="s">
        <v>852</v>
      </c>
    </row>
    <row r="38" spans="1:10" ht="27.6">
      <c r="A38" s="6" t="s">
        <v>277</v>
      </c>
      <c r="B38" s="6" t="s">
        <v>848</v>
      </c>
      <c r="C38" s="6" t="s">
        <v>856</v>
      </c>
      <c r="D38" s="6" t="s">
        <v>857</v>
      </c>
      <c r="E38" s="6" t="s">
        <v>20</v>
      </c>
      <c r="F38" s="57">
        <v>1</v>
      </c>
      <c r="G38" s="58">
        <v>4200000</v>
      </c>
      <c r="H38" s="58">
        <f>F38*G38</f>
        <v>4200000</v>
      </c>
      <c r="I38" s="6" t="s">
        <v>858</v>
      </c>
      <c r="J38" s="6" t="s">
        <v>657</v>
      </c>
    </row>
    <row r="39" spans="1:10">
      <c r="A39" s="6"/>
      <c r="B39" s="6"/>
      <c r="C39" s="6"/>
      <c r="D39" s="6"/>
      <c r="E39" s="6"/>
      <c r="F39" s="57"/>
      <c r="G39" s="58"/>
      <c r="H39" s="58"/>
      <c r="I39" s="6"/>
      <c r="J39" s="6"/>
    </row>
    <row r="40" spans="1:10">
      <c r="A40" s="8" t="s">
        <v>859</v>
      </c>
      <c r="B40" s="6"/>
      <c r="C40" s="6"/>
      <c r="D40" s="6"/>
      <c r="E40" s="6"/>
      <c r="F40" s="57"/>
      <c r="G40" s="58"/>
      <c r="H40" s="59">
        <f>SUM(H2:H38)</f>
        <v>149070805.39625001</v>
      </c>
      <c r="I40" s="6"/>
      <c r="J4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topLeftCell="A14" workbookViewId="0">
      <selection sqref="A1:D1"/>
    </sheetView>
  </sheetViews>
  <sheetFormatPr defaultRowHeight="13.8"/>
  <cols>
    <col min="1" max="1" width="25" customWidth="1"/>
    <col min="2" max="2" width="42" customWidth="1"/>
    <col min="3" max="3" width="58" customWidth="1"/>
    <col min="4" max="4" width="52" customWidth="1"/>
  </cols>
  <sheetData>
    <row r="1" spans="1:4" ht="17.399999999999999">
      <c r="A1" s="106" t="s">
        <v>860</v>
      </c>
      <c r="B1" s="106"/>
      <c r="C1" s="106"/>
      <c r="D1" s="106"/>
    </row>
    <row r="3" spans="1:4">
      <c r="A3" s="1" t="s">
        <v>861</v>
      </c>
      <c r="B3" s="1" t="s">
        <v>862</v>
      </c>
      <c r="C3" s="1" t="s">
        <v>863</v>
      </c>
      <c r="D3" s="1" t="s">
        <v>864</v>
      </c>
    </row>
    <row r="4" spans="1:4" ht="27.6">
      <c r="A4" s="2" t="s">
        <v>865</v>
      </c>
      <c r="B4" s="2" t="s">
        <v>522</v>
      </c>
      <c r="C4" s="2" t="s">
        <v>866</v>
      </c>
      <c r="D4" s="2" t="s">
        <v>867</v>
      </c>
    </row>
    <row r="5" spans="1:4">
      <c r="A5" s="2" t="s">
        <v>868</v>
      </c>
      <c r="B5" s="2" t="s">
        <v>583</v>
      </c>
      <c r="C5" s="2" t="s">
        <v>869</v>
      </c>
      <c r="D5" s="2" t="s">
        <v>870</v>
      </c>
    </row>
    <row r="6" spans="1:4">
      <c r="A6" s="2" t="s">
        <v>871</v>
      </c>
      <c r="B6" s="2" t="s">
        <v>872</v>
      </c>
      <c r="C6" s="2" t="s">
        <v>873</v>
      </c>
      <c r="D6" s="2" t="s">
        <v>874</v>
      </c>
    </row>
    <row r="7" spans="1:4" ht="27.6">
      <c r="A7" s="2" t="s">
        <v>875</v>
      </c>
      <c r="B7" s="2" t="s">
        <v>876</v>
      </c>
      <c r="C7" s="2" t="s">
        <v>877</v>
      </c>
      <c r="D7" s="2" t="s">
        <v>878</v>
      </c>
    </row>
    <row r="8" spans="1:4" ht="27.6">
      <c r="A8" s="2" t="s">
        <v>879</v>
      </c>
      <c r="B8" s="2" t="s">
        <v>880</v>
      </c>
      <c r="C8" s="2" t="s">
        <v>881</v>
      </c>
      <c r="D8" s="2" t="s">
        <v>882</v>
      </c>
    </row>
    <row r="9" spans="1:4" ht="27.6">
      <c r="A9" s="2" t="s">
        <v>883</v>
      </c>
      <c r="B9" s="2" t="s">
        <v>884</v>
      </c>
      <c r="C9" s="2" t="s">
        <v>885</v>
      </c>
      <c r="D9" s="2" t="s">
        <v>886</v>
      </c>
    </row>
    <row r="10" spans="1:4" ht="41.4">
      <c r="A10" s="2" t="s">
        <v>887</v>
      </c>
      <c r="B10" s="2" t="s">
        <v>888</v>
      </c>
      <c r="C10" s="2" t="s">
        <v>889</v>
      </c>
      <c r="D10" s="2" t="s">
        <v>890</v>
      </c>
    </row>
    <row r="11" spans="1:4" ht="27.6">
      <c r="A11" s="2" t="s">
        <v>891</v>
      </c>
      <c r="B11" s="2" t="s">
        <v>892</v>
      </c>
      <c r="C11" s="2" t="s">
        <v>893</v>
      </c>
      <c r="D11" s="2" t="s">
        <v>894</v>
      </c>
    </row>
    <row r="12" spans="1:4" ht="27.6">
      <c r="A12" s="2" t="s">
        <v>895</v>
      </c>
      <c r="B12" s="2" t="s">
        <v>896</v>
      </c>
      <c r="C12" s="2" t="s">
        <v>897</v>
      </c>
      <c r="D12" s="2" t="s">
        <v>898</v>
      </c>
    </row>
    <row r="13" spans="1:4">
      <c r="A13" s="2" t="s">
        <v>899</v>
      </c>
      <c r="B13" s="2" t="s">
        <v>900</v>
      </c>
      <c r="C13" s="2" t="s">
        <v>901</v>
      </c>
      <c r="D13" s="2" t="s">
        <v>902</v>
      </c>
    </row>
    <row r="14" spans="1:4" ht="41.4">
      <c r="A14" s="2" t="s">
        <v>903</v>
      </c>
      <c r="B14" s="2" t="s">
        <v>904</v>
      </c>
      <c r="C14" s="2" t="s">
        <v>905</v>
      </c>
      <c r="D14" s="2" t="s">
        <v>906</v>
      </c>
    </row>
    <row r="15" spans="1:4" ht="27.6">
      <c r="A15" s="2" t="s">
        <v>65</v>
      </c>
      <c r="B15" s="2" t="s">
        <v>907</v>
      </c>
      <c r="C15" s="2" t="s">
        <v>908</v>
      </c>
      <c r="D15" s="2" t="s">
        <v>909</v>
      </c>
    </row>
    <row r="16" spans="1:4">
      <c r="A16" s="2" t="s">
        <v>910</v>
      </c>
      <c r="B16" s="2" t="s">
        <v>911</v>
      </c>
      <c r="C16" s="2" t="s">
        <v>912</v>
      </c>
      <c r="D16" s="2" t="s">
        <v>913</v>
      </c>
    </row>
    <row r="17" spans="1:4">
      <c r="A17" t="s">
        <v>596</v>
      </c>
      <c r="B17" t="s">
        <v>914</v>
      </c>
      <c r="C17" t="s">
        <v>915</v>
      </c>
      <c r="D17" t="s">
        <v>916</v>
      </c>
    </row>
    <row r="18" spans="1:4" ht="27.6">
      <c r="A18" s="2" t="s">
        <v>996</v>
      </c>
      <c r="B18" s="2" t="s">
        <v>997</v>
      </c>
      <c r="C18" s="2" t="s">
        <v>998</v>
      </c>
      <c r="D18" s="2" t="s">
        <v>999</v>
      </c>
    </row>
    <row r="19" spans="1:4" ht="27.6">
      <c r="A19" s="2" t="s">
        <v>1000</v>
      </c>
      <c r="B19" s="2" t="s">
        <v>1001</v>
      </c>
      <c r="C19" s="2" t="s">
        <v>1002</v>
      </c>
      <c r="D19" s="2" t="s">
        <v>1003</v>
      </c>
    </row>
    <row r="20" spans="1:4" ht="41.4">
      <c r="A20" s="2" t="s">
        <v>1004</v>
      </c>
      <c r="B20" s="2" t="s">
        <v>1005</v>
      </c>
      <c r="C20" s="2" t="s">
        <v>1006</v>
      </c>
      <c r="D20" s="2" t="s">
        <v>1007</v>
      </c>
    </row>
    <row r="21" spans="1:4" ht="27.6">
      <c r="A21" s="2" t="s">
        <v>1008</v>
      </c>
      <c r="B21" s="2" t="s">
        <v>1009</v>
      </c>
      <c r="C21" s="2" t="s">
        <v>1010</v>
      </c>
      <c r="D21" s="2" t="s">
        <v>1011</v>
      </c>
    </row>
    <row r="22" spans="1:4" ht="41.4">
      <c r="A22" s="2" t="s">
        <v>1012</v>
      </c>
      <c r="B22" s="2" t="s">
        <v>988</v>
      </c>
      <c r="C22" s="2" t="s">
        <v>1013</v>
      </c>
      <c r="D22" s="2" t="s">
        <v>1014</v>
      </c>
    </row>
    <row r="23" spans="1:4" ht="27.6">
      <c r="A23" s="2" t="s">
        <v>1015</v>
      </c>
      <c r="B23" s="2" t="s">
        <v>994</v>
      </c>
      <c r="C23" s="2" t="s">
        <v>1016</v>
      </c>
      <c r="D23" s="2" t="s">
        <v>1017</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topLeftCell="A5" workbookViewId="0">
      <selection activeCell="G8" sqref="G8"/>
    </sheetView>
  </sheetViews>
  <sheetFormatPr defaultColWidth="8.69921875" defaultRowHeight="13.8"/>
  <cols>
    <col min="1" max="1" width="9" style="8" customWidth="1"/>
    <col min="2" max="2" width="25" style="8" hidden="1" customWidth="1"/>
    <col min="3" max="3" width="58" style="81" customWidth="1"/>
    <col min="4" max="4" width="8" style="8" customWidth="1"/>
    <col min="5" max="5" width="9" style="8" customWidth="1"/>
    <col min="6" max="6" width="14" style="8" customWidth="1"/>
    <col min="7" max="7" width="16" style="8" customWidth="1"/>
    <col min="8" max="8" width="28" style="8" customWidth="1"/>
    <col min="9" max="9" width="26" style="8" customWidth="1"/>
    <col min="10" max="10" width="28" style="8" customWidth="1"/>
    <col min="11" max="11" width="14" style="8" customWidth="1"/>
    <col min="12" max="12" width="30" style="8" customWidth="1"/>
    <col min="13" max="16384" width="8.69921875" style="8"/>
  </cols>
  <sheetData>
    <row r="1" spans="1:12" ht="17.399999999999999">
      <c r="A1" s="108" t="s">
        <v>1018</v>
      </c>
      <c r="B1" s="108"/>
      <c r="C1" s="108"/>
      <c r="D1" s="108"/>
      <c r="E1" s="108"/>
      <c r="F1" s="108"/>
      <c r="G1" s="108"/>
      <c r="H1" s="108"/>
      <c r="I1" s="108"/>
      <c r="J1" s="108"/>
      <c r="K1" s="108"/>
      <c r="L1" s="108"/>
    </row>
    <row r="2" spans="1:12" ht="14.4">
      <c r="A2" s="109" t="s">
        <v>1019</v>
      </c>
      <c r="B2" s="109"/>
      <c r="C2" s="109"/>
      <c r="D2" s="109"/>
      <c r="E2" s="109"/>
      <c r="F2" s="109"/>
      <c r="G2" s="109"/>
      <c r="H2" s="109"/>
      <c r="I2" s="109"/>
      <c r="J2" s="109"/>
      <c r="K2" s="109"/>
      <c r="L2" s="109"/>
    </row>
    <row r="4" spans="1:12">
      <c r="A4" s="84" t="s">
        <v>619</v>
      </c>
      <c r="B4" s="84" t="s">
        <v>5</v>
      </c>
      <c r="C4" s="60" t="s">
        <v>1020</v>
      </c>
      <c r="D4" s="84" t="s">
        <v>8</v>
      </c>
      <c r="E4" s="84" t="s">
        <v>9</v>
      </c>
      <c r="F4" s="84" t="s">
        <v>10</v>
      </c>
      <c r="G4" s="84" t="s">
        <v>11</v>
      </c>
      <c r="H4" s="84" t="s">
        <v>1021</v>
      </c>
      <c r="I4" s="84" t="s">
        <v>371</v>
      </c>
      <c r="J4" s="84" t="s">
        <v>1022</v>
      </c>
      <c r="K4" s="84" t="s">
        <v>4</v>
      </c>
      <c r="L4" s="84" t="s">
        <v>623</v>
      </c>
    </row>
    <row r="5" spans="1:12" ht="69">
      <c r="A5" s="6" t="s">
        <v>18</v>
      </c>
      <c r="B5" s="6" t="s">
        <v>1023</v>
      </c>
      <c r="C5" s="56" t="s">
        <v>1024</v>
      </c>
      <c r="D5" s="6" t="s">
        <v>753</v>
      </c>
      <c r="E5" s="41">
        <v>2</v>
      </c>
      <c r="F5" s="42">
        <v>13500000</v>
      </c>
      <c r="G5" s="42">
        <f>E5*F5</f>
        <v>27000000</v>
      </c>
      <c r="H5" s="6" t="s">
        <v>1025</v>
      </c>
      <c r="I5" s="6" t="s">
        <v>1026</v>
      </c>
      <c r="J5" s="6" t="s">
        <v>1027</v>
      </c>
      <c r="K5" s="6" t="s">
        <v>657</v>
      </c>
      <c r="L5" s="6" t="s">
        <v>1028</v>
      </c>
    </row>
    <row r="6" spans="1:12" ht="55.2">
      <c r="A6" s="6" t="s">
        <v>25</v>
      </c>
      <c r="B6" s="6" t="s">
        <v>1023</v>
      </c>
      <c r="C6" s="56" t="s">
        <v>1029</v>
      </c>
      <c r="D6" s="6" t="s">
        <v>753</v>
      </c>
      <c r="E6" s="41">
        <v>3</v>
      </c>
      <c r="F6" s="42">
        <v>1200000</v>
      </c>
      <c r="G6" s="42">
        <f t="shared" ref="G6:G28" si="0">E6*F6</f>
        <v>3600000</v>
      </c>
      <c r="H6" s="6" t="s">
        <v>1025</v>
      </c>
      <c r="I6" s="6" t="s">
        <v>1030</v>
      </c>
      <c r="J6" s="6" t="s">
        <v>1027</v>
      </c>
      <c r="K6" s="6" t="s">
        <v>657</v>
      </c>
      <c r="L6" s="6" t="s">
        <v>1031</v>
      </c>
    </row>
    <row r="7" spans="1:12" ht="55.2">
      <c r="A7" s="6" t="s">
        <v>30</v>
      </c>
      <c r="B7" s="6" t="s">
        <v>1023</v>
      </c>
      <c r="C7" s="56" t="s">
        <v>1032</v>
      </c>
      <c r="D7" s="6" t="s">
        <v>753</v>
      </c>
      <c r="E7" s="41">
        <v>3</v>
      </c>
      <c r="F7" s="42">
        <v>1100000</v>
      </c>
      <c r="G7" s="42">
        <f t="shared" si="0"/>
        <v>3300000</v>
      </c>
      <c r="H7" s="6" t="s">
        <v>1025</v>
      </c>
      <c r="I7" s="6" t="s">
        <v>1033</v>
      </c>
      <c r="J7" s="6" t="s">
        <v>1027</v>
      </c>
      <c r="K7" s="6" t="s">
        <v>657</v>
      </c>
      <c r="L7" s="6" t="s">
        <v>1034</v>
      </c>
    </row>
    <row r="8" spans="1:12" ht="55.2">
      <c r="A8" s="6" t="s">
        <v>35</v>
      </c>
      <c r="B8" s="6" t="s">
        <v>1023</v>
      </c>
      <c r="C8" s="56" t="s">
        <v>1035</v>
      </c>
      <c r="D8" s="6" t="s">
        <v>753</v>
      </c>
      <c r="E8" s="41">
        <v>2</v>
      </c>
      <c r="F8" s="42">
        <v>4500000</v>
      </c>
      <c r="G8" s="42">
        <f t="shared" si="0"/>
        <v>9000000</v>
      </c>
      <c r="H8" s="6" t="s">
        <v>1025</v>
      </c>
      <c r="I8" s="6" t="s">
        <v>1036</v>
      </c>
      <c r="J8" s="6" t="s">
        <v>1027</v>
      </c>
      <c r="K8" s="6" t="s">
        <v>657</v>
      </c>
      <c r="L8" s="6" t="s">
        <v>1037</v>
      </c>
    </row>
    <row r="9" spans="1:12" ht="41.4">
      <c r="A9" s="6" t="s">
        <v>40</v>
      </c>
      <c r="B9" s="6" t="s">
        <v>1023</v>
      </c>
      <c r="C9" s="56" t="s">
        <v>1038</v>
      </c>
      <c r="D9" s="6" t="s">
        <v>20</v>
      </c>
      <c r="E9" s="41">
        <v>1</v>
      </c>
      <c r="F9" s="42">
        <v>800000</v>
      </c>
      <c r="G9" s="42">
        <f t="shared" si="0"/>
        <v>800000</v>
      </c>
      <c r="H9" s="6" t="s">
        <v>1039</v>
      </c>
      <c r="I9" s="6" t="s">
        <v>1040</v>
      </c>
      <c r="J9" s="6" t="s">
        <v>1027</v>
      </c>
      <c r="K9" s="6" t="s">
        <v>657</v>
      </c>
      <c r="L9" s="6" t="s">
        <v>1041</v>
      </c>
    </row>
    <row r="10" spans="1:12" ht="55.2">
      <c r="A10" s="6" t="s">
        <v>63</v>
      </c>
      <c r="B10" s="6" t="s">
        <v>1042</v>
      </c>
      <c r="C10" s="56" t="s">
        <v>1043</v>
      </c>
      <c r="D10" s="6" t="s">
        <v>753</v>
      </c>
      <c r="E10" s="41">
        <v>2</v>
      </c>
      <c r="F10" s="42">
        <v>1800000</v>
      </c>
      <c r="G10" s="42">
        <f t="shared" si="0"/>
        <v>3600000</v>
      </c>
      <c r="H10" s="6" t="s">
        <v>1025</v>
      </c>
      <c r="I10" s="6" t="s">
        <v>1044</v>
      </c>
      <c r="J10" s="6" t="s">
        <v>1045</v>
      </c>
      <c r="K10" s="6" t="s">
        <v>657</v>
      </c>
      <c r="L10" s="6" t="s">
        <v>1046</v>
      </c>
    </row>
    <row r="11" spans="1:12" ht="55.2">
      <c r="A11" s="6" t="s">
        <v>69</v>
      </c>
      <c r="B11" s="6" t="s">
        <v>1042</v>
      </c>
      <c r="C11" s="56" t="s">
        <v>1047</v>
      </c>
      <c r="D11" s="6" t="s">
        <v>753</v>
      </c>
      <c r="E11" s="41">
        <v>1</v>
      </c>
      <c r="F11" s="42">
        <v>2700000</v>
      </c>
      <c r="G11" s="42">
        <f t="shared" si="0"/>
        <v>2700000</v>
      </c>
      <c r="H11" s="6" t="s">
        <v>1025</v>
      </c>
      <c r="I11" s="6" t="s">
        <v>1048</v>
      </c>
      <c r="J11" s="6" t="s">
        <v>1045</v>
      </c>
      <c r="K11" s="6" t="s">
        <v>657</v>
      </c>
      <c r="L11" s="6" t="s">
        <v>1046</v>
      </c>
    </row>
    <row r="12" spans="1:12" ht="41.4">
      <c r="A12" s="6" t="s">
        <v>75</v>
      </c>
      <c r="B12" s="6" t="s">
        <v>1042</v>
      </c>
      <c r="C12" s="56" t="s">
        <v>1049</v>
      </c>
      <c r="D12" s="6" t="s">
        <v>753</v>
      </c>
      <c r="E12" s="41">
        <v>2</v>
      </c>
      <c r="F12" s="42">
        <v>450000</v>
      </c>
      <c r="G12" s="42">
        <f t="shared" si="0"/>
        <v>900000</v>
      </c>
      <c r="H12" s="6" t="s">
        <v>1050</v>
      </c>
      <c r="I12" s="6" t="s">
        <v>1051</v>
      </c>
      <c r="J12" s="6" t="s">
        <v>1027</v>
      </c>
      <c r="K12" s="6" t="s">
        <v>657</v>
      </c>
      <c r="L12" s="6"/>
    </row>
    <row r="13" spans="1:12" ht="27.6">
      <c r="A13" s="6" t="s">
        <v>78</v>
      </c>
      <c r="B13" s="6" t="s">
        <v>1042</v>
      </c>
      <c r="C13" s="56" t="s">
        <v>1052</v>
      </c>
      <c r="D13" s="6" t="s">
        <v>753</v>
      </c>
      <c r="E13" s="41">
        <v>1</v>
      </c>
      <c r="F13" s="42">
        <v>550000</v>
      </c>
      <c r="G13" s="42">
        <f t="shared" si="0"/>
        <v>550000</v>
      </c>
      <c r="H13" s="6" t="s">
        <v>1050</v>
      </c>
      <c r="I13" s="6" t="s">
        <v>1053</v>
      </c>
      <c r="J13" s="6" t="s">
        <v>1027</v>
      </c>
      <c r="K13" s="6" t="s">
        <v>657</v>
      </c>
      <c r="L13" s="6"/>
    </row>
    <row r="14" spans="1:12" ht="27.6">
      <c r="A14" s="6" t="s">
        <v>84</v>
      </c>
      <c r="B14" s="6" t="s">
        <v>1042</v>
      </c>
      <c r="C14" s="56" t="s">
        <v>1054</v>
      </c>
      <c r="D14" s="6" t="s">
        <v>753</v>
      </c>
      <c r="E14" s="41">
        <v>3</v>
      </c>
      <c r="F14" s="42">
        <v>400000</v>
      </c>
      <c r="G14" s="42">
        <f t="shared" si="0"/>
        <v>1200000</v>
      </c>
      <c r="H14" s="6" t="s">
        <v>1050</v>
      </c>
      <c r="I14" s="6" t="s">
        <v>1055</v>
      </c>
      <c r="J14" s="6" t="s">
        <v>1027</v>
      </c>
      <c r="K14" s="6" t="s">
        <v>657</v>
      </c>
      <c r="L14" s="6"/>
    </row>
    <row r="15" spans="1:12" ht="27.6">
      <c r="A15" s="6" t="s">
        <v>88</v>
      </c>
      <c r="B15" s="6" t="s">
        <v>1042</v>
      </c>
      <c r="C15" s="56" t="s">
        <v>1056</v>
      </c>
      <c r="D15" s="6" t="s">
        <v>753</v>
      </c>
      <c r="E15" s="41">
        <v>1</v>
      </c>
      <c r="F15" s="42">
        <v>700000</v>
      </c>
      <c r="G15" s="42">
        <f t="shared" si="0"/>
        <v>700000</v>
      </c>
      <c r="H15" s="6" t="s">
        <v>1050</v>
      </c>
      <c r="I15" s="6" t="s">
        <v>1057</v>
      </c>
      <c r="J15" s="6" t="s">
        <v>1027</v>
      </c>
      <c r="K15" s="6" t="s">
        <v>657</v>
      </c>
      <c r="L15" s="6"/>
    </row>
    <row r="16" spans="1:12" ht="41.4">
      <c r="A16" s="6" t="s">
        <v>95</v>
      </c>
      <c r="B16" s="6" t="s">
        <v>1042</v>
      </c>
      <c r="C16" s="56" t="s">
        <v>1058</v>
      </c>
      <c r="D16" s="6" t="s">
        <v>753</v>
      </c>
      <c r="E16" s="41">
        <v>1</v>
      </c>
      <c r="F16" s="42">
        <v>450000</v>
      </c>
      <c r="G16" s="42">
        <f t="shared" si="0"/>
        <v>450000</v>
      </c>
      <c r="H16" s="6" t="s">
        <v>1050</v>
      </c>
      <c r="I16" s="6" t="s">
        <v>1059</v>
      </c>
      <c r="J16" s="6" t="s">
        <v>1060</v>
      </c>
      <c r="K16" s="6" t="s">
        <v>657</v>
      </c>
      <c r="L16" s="6" t="s">
        <v>1061</v>
      </c>
    </row>
    <row r="17" spans="1:12" ht="41.4">
      <c r="A17" s="6" t="s">
        <v>101</v>
      </c>
      <c r="B17" s="6" t="s">
        <v>1042</v>
      </c>
      <c r="C17" s="56" t="s">
        <v>1062</v>
      </c>
      <c r="D17" s="6" t="s">
        <v>753</v>
      </c>
      <c r="E17" s="41">
        <v>6</v>
      </c>
      <c r="F17" s="42">
        <v>120000</v>
      </c>
      <c r="G17" s="42">
        <f t="shared" si="0"/>
        <v>720000</v>
      </c>
      <c r="H17" s="6" t="s">
        <v>1050</v>
      </c>
      <c r="I17" s="6" t="s">
        <v>1063</v>
      </c>
      <c r="J17" s="6" t="s">
        <v>1027</v>
      </c>
      <c r="K17" s="6" t="s">
        <v>657</v>
      </c>
      <c r="L17" s="6"/>
    </row>
    <row r="18" spans="1:12" s="94" customFormat="1" ht="69">
      <c r="A18" s="90" t="s">
        <v>129</v>
      </c>
      <c r="B18" s="90" t="s">
        <v>1064</v>
      </c>
      <c r="C18" s="91" t="s">
        <v>1065</v>
      </c>
      <c r="D18" s="90" t="s">
        <v>46</v>
      </c>
      <c r="E18" s="92">
        <v>450</v>
      </c>
      <c r="F18" s="93">
        <v>22000</v>
      </c>
      <c r="G18" s="93">
        <f t="shared" si="0"/>
        <v>9900000</v>
      </c>
      <c r="H18" s="90" t="s">
        <v>1066</v>
      </c>
      <c r="I18" s="90" t="s">
        <v>1067</v>
      </c>
      <c r="J18" s="90" t="s">
        <v>1068</v>
      </c>
      <c r="K18" s="90" t="s">
        <v>1069</v>
      </c>
      <c r="L18" s="90" t="s">
        <v>1070</v>
      </c>
    </row>
    <row r="19" spans="1:12" s="94" customFormat="1" ht="55.2">
      <c r="A19" s="90" t="s">
        <v>134</v>
      </c>
      <c r="B19" s="90" t="s">
        <v>1064</v>
      </c>
      <c r="C19" s="91" t="s">
        <v>1071</v>
      </c>
      <c r="D19" s="90" t="s">
        <v>46</v>
      </c>
      <c r="E19" s="92">
        <v>120</v>
      </c>
      <c r="F19" s="93">
        <v>14000</v>
      </c>
      <c r="G19" s="93">
        <f t="shared" si="0"/>
        <v>1680000</v>
      </c>
      <c r="H19" s="90" t="s">
        <v>1072</v>
      </c>
      <c r="I19" s="90" t="s">
        <v>1067</v>
      </c>
      <c r="J19" s="90" t="s">
        <v>1073</v>
      </c>
      <c r="K19" s="90" t="s">
        <v>1069</v>
      </c>
      <c r="L19" s="90" t="s">
        <v>1070</v>
      </c>
    </row>
    <row r="20" spans="1:12" s="94" customFormat="1" ht="55.2">
      <c r="A20" s="90" t="s">
        <v>139</v>
      </c>
      <c r="B20" s="90" t="s">
        <v>1064</v>
      </c>
      <c r="C20" s="91" t="s">
        <v>1074</v>
      </c>
      <c r="D20" s="90" t="s">
        <v>20</v>
      </c>
      <c r="E20" s="92">
        <v>1</v>
      </c>
      <c r="F20" s="93">
        <v>2500000</v>
      </c>
      <c r="G20" s="93">
        <f t="shared" si="0"/>
        <v>2500000</v>
      </c>
      <c r="H20" s="90" t="s">
        <v>1039</v>
      </c>
      <c r="I20" s="90" t="s">
        <v>1075</v>
      </c>
      <c r="J20" s="90" t="s">
        <v>1076</v>
      </c>
      <c r="K20" s="90" t="s">
        <v>657</v>
      </c>
      <c r="L20" s="90" t="s">
        <v>1077</v>
      </c>
    </row>
    <row r="21" spans="1:12" ht="96.6">
      <c r="A21" s="6" t="s">
        <v>183</v>
      </c>
      <c r="B21" s="6" t="s">
        <v>1078</v>
      </c>
      <c r="C21" s="56" t="s">
        <v>1079</v>
      </c>
      <c r="D21" s="6" t="s">
        <v>20</v>
      </c>
      <c r="E21" s="41">
        <v>1</v>
      </c>
      <c r="F21" s="42">
        <v>12000000</v>
      </c>
      <c r="G21" s="42">
        <f t="shared" si="0"/>
        <v>12000000</v>
      </c>
      <c r="H21" s="6" t="s">
        <v>1080</v>
      </c>
      <c r="I21" s="6" t="s">
        <v>1081</v>
      </c>
      <c r="J21" s="6" t="s">
        <v>1082</v>
      </c>
      <c r="K21" s="6" t="s">
        <v>657</v>
      </c>
      <c r="L21" s="6" t="s">
        <v>1083</v>
      </c>
    </row>
    <row r="22" spans="1:12" ht="69">
      <c r="A22" s="6" t="s">
        <v>188</v>
      </c>
      <c r="B22" s="6" t="s">
        <v>1078</v>
      </c>
      <c r="C22" s="56" t="s">
        <v>1084</v>
      </c>
      <c r="D22" s="6" t="s">
        <v>20</v>
      </c>
      <c r="E22" s="41">
        <v>1</v>
      </c>
      <c r="F22" s="42">
        <v>5500000</v>
      </c>
      <c r="G22" s="42">
        <f t="shared" si="0"/>
        <v>5500000</v>
      </c>
      <c r="H22" s="6" t="s">
        <v>1080</v>
      </c>
      <c r="I22" s="6" t="s">
        <v>1085</v>
      </c>
      <c r="J22" s="6" t="s">
        <v>1027</v>
      </c>
      <c r="K22" s="6" t="s">
        <v>657</v>
      </c>
      <c r="L22" s="6" t="s">
        <v>1086</v>
      </c>
    </row>
    <row r="23" spans="1:12" ht="55.2">
      <c r="A23" s="6" t="s">
        <v>193</v>
      </c>
      <c r="B23" s="6" t="s">
        <v>1078</v>
      </c>
      <c r="C23" s="56" t="s">
        <v>1087</v>
      </c>
      <c r="D23" s="6" t="s">
        <v>753</v>
      </c>
      <c r="E23" s="41">
        <v>4</v>
      </c>
      <c r="F23" s="42">
        <v>500000</v>
      </c>
      <c r="G23" s="42">
        <f t="shared" si="0"/>
        <v>2000000</v>
      </c>
      <c r="H23" s="6" t="s">
        <v>1088</v>
      </c>
      <c r="I23" s="6" t="s">
        <v>1089</v>
      </c>
      <c r="J23" s="6" t="s">
        <v>1090</v>
      </c>
      <c r="K23" s="6" t="s">
        <v>657</v>
      </c>
      <c r="L23" s="6" t="s">
        <v>1091</v>
      </c>
    </row>
    <row r="24" spans="1:12" ht="41.4">
      <c r="A24" s="6" t="s">
        <v>198</v>
      </c>
      <c r="B24" s="6" t="s">
        <v>1092</v>
      </c>
      <c r="C24" s="56" t="s">
        <v>1093</v>
      </c>
      <c r="D24" s="6" t="s">
        <v>20</v>
      </c>
      <c r="E24" s="41">
        <v>1</v>
      </c>
      <c r="F24" s="42">
        <v>1500000</v>
      </c>
      <c r="G24" s="42">
        <f t="shared" si="0"/>
        <v>1500000</v>
      </c>
      <c r="H24" s="6" t="s">
        <v>1039</v>
      </c>
      <c r="I24" s="6" t="s">
        <v>1094</v>
      </c>
      <c r="J24" s="6" t="s">
        <v>1095</v>
      </c>
      <c r="K24" s="6" t="s">
        <v>657</v>
      </c>
      <c r="L24" s="6"/>
    </row>
    <row r="25" spans="1:12" ht="82.8">
      <c r="A25" s="6" t="s">
        <v>215</v>
      </c>
      <c r="B25" s="6" t="s">
        <v>1096</v>
      </c>
      <c r="C25" s="56" t="s">
        <v>1097</v>
      </c>
      <c r="D25" s="6" t="s">
        <v>20</v>
      </c>
      <c r="E25" s="41">
        <v>1</v>
      </c>
      <c r="F25" s="42">
        <v>4000000</v>
      </c>
      <c r="G25" s="42">
        <f t="shared" si="0"/>
        <v>4000000</v>
      </c>
      <c r="H25" s="6" t="s">
        <v>1098</v>
      </c>
      <c r="I25" s="6" t="s">
        <v>1099</v>
      </c>
      <c r="J25" s="6" t="s">
        <v>1100</v>
      </c>
      <c r="K25" s="6" t="s">
        <v>657</v>
      </c>
      <c r="L25" s="6"/>
    </row>
    <row r="26" spans="1:12" ht="69">
      <c r="A26" s="6" t="s">
        <v>221</v>
      </c>
      <c r="B26" s="6" t="s">
        <v>1101</v>
      </c>
      <c r="C26" s="56" t="s">
        <v>1102</v>
      </c>
      <c r="D26" s="6" t="s">
        <v>20</v>
      </c>
      <c r="E26" s="41">
        <v>1</v>
      </c>
      <c r="F26" s="42">
        <v>1000000</v>
      </c>
      <c r="G26" s="42">
        <f t="shared" si="0"/>
        <v>1000000</v>
      </c>
      <c r="H26" s="6" t="s">
        <v>1103</v>
      </c>
      <c r="I26" s="6" t="s">
        <v>1104</v>
      </c>
      <c r="J26" s="6" t="s">
        <v>1105</v>
      </c>
      <c r="K26" s="6" t="s">
        <v>657</v>
      </c>
      <c r="L26" s="6" t="s">
        <v>1106</v>
      </c>
    </row>
    <row r="27" spans="1:12" ht="69">
      <c r="A27" s="6" t="s">
        <v>227</v>
      </c>
      <c r="B27" s="6" t="s">
        <v>1107</v>
      </c>
      <c r="C27" s="56" t="s">
        <v>1108</v>
      </c>
      <c r="D27" s="6" t="s">
        <v>20</v>
      </c>
      <c r="E27" s="41">
        <v>1</v>
      </c>
      <c r="F27" s="42">
        <v>2500000</v>
      </c>
      <c r="G27" s="42">
        <f t="shared" si="0"/>
        <v>2500000</v>
      </c>
      <c r="H27" s="6" t="s">
        <v>1039</v>
      </c>
      <c r="I27" s="6" t="s">
        <v>1109</v>
      </c>
      <c r="J27" s="6" t="s">
        <v>1110</v>
      </c>
      <c r="K27" s="6" t="s">
        <v>657</v>
      </c>
      <c r="L27" s="6"/>
    </row>
    <row r="28" spans="1:12" ht="55.2">
      <c r="A28" s="6" t="s">
        <v>231</v>
      </c>
      <c r="B28" s="6" t="s">
        <v>1111</v>
      </c>
      <c r="C28" s="56" t="s">
        <v>1112</v>
      </c>
      <c r="D28" s="6" t="s">
        <v>20</v>
      </c>
      <c r="E28" s="41">
        <v>1</v>
      </c>
      <c r="F28" s="42">
        <v>1000000</v>
      </c>
      <c r="G28" s="42">
        <f t="shared" si="0"/>
        <v>1000000</v>
      </c>
      <c r="H28" s="6" t="s">
        <v>1039</v>
      </c>
      <c r="I28" s="6" t="s">
        <v>1113</v>
      </c>
      <c r="J28" s="6" t="s">
        <v>1114</v>
      </c>
      <c r="K28" s="6" t="s">
        <v>657</v>
      </c>
      <c r="L28" s="6"/>
    </row>
    <row r="29" spans="1:12">
      <c r="A29" s="6"/>
      <c r="B29" s="6"/>
      <c r="C29" s="56"/>
      <c r="D29" s="6"/>
      <c r="E29" s="6"/>
      <c r="F29" s="6"/>
      <c r="G29" s="6"/>
      <c r="H29" s="6"/>
      <c r="I29" s="6"/>
      <c r="J29" s="6"/>
      <c r="K29" s="6"/>
      <c r="L29" s="6"/>
    </row>
    <row r="30" spans="1:12">
      <c r="A30" s="6"/>
      <c r="B30" s="6"/>
      <c r="C30" s="56"/>
      <c r="D30" s="6"/>
      <c r="E30" s="6"/>
      <c r="F30" s="6"/>
      <c r="G30" s="6"/>
      <c r="H30" s="6"/>
      <c r="I30" s="6"/>
      <c r="J30" s="6"/>
      <c r="K30" s="6"/>
      <c r="L30" s="6"/>
    </row>
    <row r="31" spans="1:12">
      <c r="A31" s="6"/>
      <c r="B31" s="6"/>
      <c r="C31" s="56"/>
      <c r="D31" s="6"/>
      <c r="E31" s="6"/>
      <c r="F31" s="88" t="s">
        <v>1115</v>
      </c>
      <c r="G31" s="89">
        <f>SUM(G5:G28)</f>
        <v>98100000</v>
      </c>
      <c r="H31" s="6"/>
      <c r="I31" s="6"/>
      <c r="J31" s="6"/>
      <c r="K31" s="6"/>
      <c r="L31" s="6"/>
    </row>
  </sheetData>
  <mergeCells count="2">
    <mergeCell ref="A1:L1"/>
    <mergeCell ref="A2:L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
  <sheetViews>
    <sheetView topLeftCell="A12" workbookViewId="0">
      <selection sqref="A1:H1"/>
    </sheetView>
  </sheetViews>
  <sheetFormatPr defaultRowHeight="13.8"/>
  <cols>
    <col min="1" max="2" width="28" customWidth="1"/>
    <col min="3" max="3" width="25" customWidth="1"/>
    <col min="4" max="5" width="30" customWidth="1"/>
    <col min="6" max="6" width="32" customWidth="1"/>
    <col min="7" max="7" width="16" customWidth="1"/>
    <col min="8" max="8" width="30" customWidth="1"/>
  </cols>
  <sheetData>
    <row r="1" spans="1:8" ht="17.399999999999999">
      <c r="A1" s="110" t="s">
        <v>1120</v>
      </c>
      <c r="B1" s="110"/>
      <c r="C1" s="110"/>
      <c r="D1" s="110"/>
      <c r="E1" s="110"/>
      <c r="F1" s="110"/>
      <c r="G1" s="110"/>
      <c r="H1" s="110"/>
    </row>
    <row r="2" spans="1:8">
      <c r="A2" s="2"/>
      <c r="B2" s="2"/>
      <c r="C2" s="2"/>
      <c r="D2" s="2"/>
      <c r="E2" s="2"/>
      <c r="F2" s="2"/>
      <c r="G2" s="2"/>
      <c r="H2" s="2"/>
    </row>
    <row r="3" spans="1:8">
      <c r="A3" s="10" t="s">
        <v>1121</v>
      </c>
      <c r="B3" s="10" t="s">
        <v>1122</v>
      </c>
      <c r="C3" s="10" t="s">
        <v>1123</v>
      </c>
      <c r="D3" s="10" t="s">
        <v>1124</v>
      </c>
      <c r="E3" s="10" t="s">
        <v>1125</v>
      </c>
      <c r="F3" s="10" t="s">
        <v>1126</v>
      </c>
      <c r="G3" s="10" t="s">
        <v>1127</v>
      </c>
      <c r="H3" s="10" t="s">
        <v>1128</v>
      </c>
    </row>
    <row r="4" spans="1:8" ht="27.6">
      <c r="A4" s="2" t="s">
        <v>1129</v>
      </c>
      <c r="B4" s="2" t="s">
        <v>1130</v>
      </c>
      <c r="C4" s="2" t="s">
        <v>1131</v>
      </c>
      <c r="D4" s="2" t="s">
        <v>1132</v>
      </c>
      <c r="E4" s="2" t="s">
        <v>1133</v>
      </c>
      <c r="F4" s="2" t="s">
        <v>1134</v>
      </c>
      <c r="G4" s="2" t="s">
        <v>1135</v>
      </c>
      <c r="H4" s="2" t="s">
        <v>1136</v>
      </c>
    </row>
    <row r="5" spans="1:8" ht="41.4">
      <c r="A5" s="2" t="s">
        <v>1137</v>
      </c>
      <c r="B5" s="2" t="s">
        <v>1138</v>
      </c>
      <c r="C5" s="2" t="s">
        <v>1139</v>
      </c>
      <c r="D5" s="2" t="s">
        <v>1140</v>
      </c>
      <c r="E5" s="2" t="s">
        <v>1141</v>
      </c>
      <c r="F5" s="2" t="s">
        <v>1142</v>
      </c>
      <c r="G5" s="2" t="s">
        <v>1143</v>
      </c>
      <c r="H5" s="2" t="s">
        <v>1144</v>
      </c>
    </row>
    <row r="6" spans="1:8" ht="41.4">
      <c r="A6" s="2" t="s">
        <v>1145</v>
      </c>
      <c r="B6" s="2" t="s">
        <v>1146</v>
      </c>
      <c r="C6" s="2" t="s">
        <v>1147</v>
      </c>
      <c r="D6" s="2" t="s">
        <v>1148</v>
      </c>
      <c r="E6" s="2" t="s">
        <v>1149</v>
      </c>
      <c r="F6" s="2" t="s">
        <v>1150</v>
      </c>
      <c r="G6" s="2" t="s">
        <v>1151</v>
      </c>
      <c r="H6" s="2" t="s">
        <v>1152</v>
      </c>
    </row>
    <row r="7" spans="1:8" ht="41.4">
      <c r="A7" s="2" t="s">
        <v>1153</v>
      </c>
      <c r="B7" s="2" t="s">
        <v>1154</v>
      </c>
      <c r="C7" s="2" t="s">
        <v>1155</v>
      </c>
      <c r="D7" s="2" t="s">
        <v>1156</v>
      </c>
      <c r="E7" s="2" t="s">
        <v>1157</v>
      </c>
      <c r="F7" s="2" t="s">
        <v>1158</v>
      </c>
      <c r="G7" s="2" t="s">
        <v>1143</v>
      </c>
      <c r="H7" s="2" t="s">
        <v>1159</v>
      </c>
    </row>
    <row r="8" spans="1:8">
      <c r="A8" s="2" t="s">
        <v>1160</v>
      </c>
      <c r="B8" s="2" t="s">
        <v>1161</v>
      </c>
      <c r="C8" s="2" t="s">
        <v>1162</v>
      </c>
      <c r="D8" s="2" t="s">
        <v>1132</v>
      </c>
      <c r="E8" s="2" t="s">
        <v>1163</v>
      </c>
      <c r="F8" s="2" t="s">
        <v>1164</v>
      </c>
      <c r="G8" s="2" t="s">
        <v>1143</v>
      </c>
      <c r="H8" s="2" t="s">
        <v>1165</v>
      </c>
    </row>
    <row r="9" spans="1:8">
      <c r="A9" s="2" t="s">
        <v>1166</v>
      </c>
      <c r="B9" s="2" t="s">
        <v>1167</v>
      </c>
      <c r="C9" s="2" t="s">
        <v>1168</v>
      </c>
      <c r="D9" s="2" t="s">
        <v>1132</v>
      </c>
      <c r="E9" s="2" t="s">
        <v>1169</v>
      </c>
      <c r="F9" s="2" t="s">
        <v>588</v>
      </c>
      <c r="G9" s="2" t="s">
        <v>1143</v>
      </c>
      <c r="H9" s="2" t="s">
        <v>1136</v>
      </c>
    </row>
    <row r="10" spans="1:8" ht="27.6">
      <c r="A10" s="2" t="s">
        <v>1170</v>
      </c>
      <c r="B10" s="2" t="s">
        <v>1171</v>
      </c>
      <c r="C10" s="2" t="s">
        <v>1172</v>
      </c>
      <c r="D10" s="2" t="s">
        <v>1173</v>
      </c>
      <c r="E10" s="2" t="s">
        <v>1133</v>
      </c>
      <c r="F10" s="2" t="s">
        <v>1174</v>
      </c>
      <c r="G10" s="2" t="s">
        <v>1143</v>
      </c>
      <c r="H10" s="2" t="s">
        <v>1175</v>
      </c>
    </row>
    <row r="11" spans="1:8" ht="41.4">
      <c r="A11" s="2" t="s">
        <v>1176</v>
      </c>
      <c r="B11" s="2" t="s">
        <v>1177</v>
      </c>
      <c r="C11" s="2" t="s">
        <v>1178</v>
      </c>
      <c r="D11" s="2" t="s">
        <v>1179</v>
      </c>
      <c r="E11" s="2" t="s">
        <v>1180</v>
      </c>
      <c r="F11" s="2" t="s">
        <v>1181</v>
      </c>
      <c r="G11" s="2" t="s">
        <v>1182</v>
      </c>
      <c r="H11" s="2" t="s">
        <v>1183</v>
      </c>
    </row>
    <row r="12" spans="1:8" ht="41.4">
      <c r="A12" s="2" t="s">
        <v>1184</v>
      </c>
      <c r="B12" s="2" t="s">
        <v>1185</v>
      </c>
      <c r="C12" s="2" t="s">
        <v>1186</v>
      </c>
      <c r="D12" s="2" t="s">
        <v>1179</v>
      </c>
      <c r="E12" s="2" t="s">
        <v>1187</v>
      </c>
      <c r="F12" s="2" t="s">
        <v>1188</v>
      </c>
      <c r="G12" s="2" t="s">
        <v>1189</v>
      </c>
      <c r="H12" s="2" t="s">
        <v>1190</v>
      </c>
    </row>
    <row r="13" spans="1:8" ht="27.6">
      <c r="A13" s="2" t="s">
        <v>1191</v>
      </c>
      <c r="B13" s="2" t="s">
        <v>1177</v>
      </c>
      <c r="C13" s="2" t="s">
        <v>1192</v>
      </c>
      <c r="D13" s="2" t="s">
        <v>1179</v>
      </c>
      <c r="E13" s="2" t="s">
        <v>1193</v>
      </c>
      <c r="F13" s="2" t="s">
        <v>1194</v>
      </c>
      <c r="G13" s="2" t="s">
        <v>1182</v>
      </c>
      <c r="H13" s="2" t="s">
        <v>1195</v>
      </c>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0"/>
  <sheetViews>
    <sheetView topLeftCell="A10" workbookViewId="0">
      <selection sqref="A1:J1"/>
    </sheetView>
  </sheetViews>
  <sheetFormatPr defaultRowHeight="13.8"/>
  <cols>
    <col min="1" max="1" width="10" customWidth="1"/>
    <col min="2" max="2" width="30" customWidth="1"/>
    <col min="3" max="3" width="10" customWidth="1"/>
    <col min="4" max="4" width="18" customWidth="1"/>
    <col min="5" max="5" width="27" customWidth="1"/>
    <col min="6" max="6" width="38" customWidth="1"/>
    <col min="7" max="7" width="28" customWidth="1"/>
    <col min="8" max="8" width="16" customWidth="1"/>
    <col min="9" max="9" width="14" customWidth="1"/>
    <col min="10" max="10" width="36" customWidth="1"/>
  </cols>
  <sheetData>
    <row r="1" spans="1:10" ht="17.399999999999999">
      <c r="A1" s="110" t="s">
        <v>1196</v>
      </c>
      <c r="B1" s="110"/>
      <c r="C1" s="110"/>
      <c r="D1" s="110"/>
      <c r="E1" s="110"/>
      <c r="F1" s="110"/>
      <c r="G1" s="110"/>
      <c r="H1" s="110"/>
      <c r="I1" s="110"/>
      <c r="J1" s="110"/>
    </row>
    <row r="2" spans="1:10">
      <c r="A2" s="2"/>
      <c r="B2" s="2"/>
      <c r="C2" s="2"/>
      <c r="D2" s="2"/>
      <c r="E2" s="2"/>
      <c r="F2" s="2"/>
      <c r="G2" s="2"/>
      <c r="H2" s="2"/>
      <c r="I2" s="2"/>
      <c r="J2" s="2"/>
    </row>
    <row r="3" spans="1:10" ht="27.6">
      <c r="A3" s="10" t="s">
        <v>367</v>
      </c>
      <c r="B3" s="10" t="s">
        <v>1197</v>
      </c>
      <c r="C3" s="10" t="s">
        <v>8</v>
      </c>
      <c r="D3" s="10" t="s">
        <v>504</v>
      </c>
      <c r="E3" s="10" t="s">
        <v>12</v>
      </c>
      <c r="F3" s="10" t="s">
        <v>1198</v>
      </c>
      <c r="G3" s="10" t="s">
        <v>861</v>
      </c>
      <c r="H3" s="10" t="s">
        <v>1199</v>
      </c>
      <c r="I3" s="10" t="s">
        <v>1200</v>
      </c>
      <c r="J3" s="10" t="s">
        <v>507</v>
      </c>
    </row>
    <row r="4" spans="1:10" ht="27.6">
      <c r="A4" s="2" t="s">
        <v>1201</v>
      </c>
      <c r="B4" s="2" t="s">
        <v>1202</v>
      </c>
      <c r="C4" s="2" t="s">
        <v>753</v>
      </c>
      <c r="D4" s="2">
        <v>13500000</v>
      </c>
      <c r="E4" s="2" t="s">
        <v>1050</v>
      </c>
      <c r="F4" s="2" t="s">
        <v>1203</v>
      </c>
      <c r="G4" s="2" t="s">
        <v>1204</v>
      </c>
      <c r="H4" s="2" t="s">
        <v>1205</v>
      </c>
      <c r="I4" s="2" t="s">
        <v>1206</v>
      </c>
      <c r="J4" s="2" t="s">
        <v>1207</v>
      </c>
    </row>
    <row r="5" spans="1:10" ht="27.6">
      <c r="A5" s="2" t="s">
        <v>1208</v>
      </c>
      <c r="B5" s="2" t="s">
        <v>1209</v>
      </c>
      <c r="C5" s="2" t="s">
        <v>753</v>
      </c>
      <c r="D5" s="2">
        <v>1200000</v>
      </c>
      <c r="E5" s="2" t="s">
        <v>1050</v>
      </c>
      <c r="F5" s="2" t="s">
        <v>1210</v>
      </c>
      <c r="G5" s="2" t="s">
        <v>1211</v>
      </c>
      <c r="H5" s="2" t="s">
        <v>1212</v>
      </c>
      <c r="I5" s="2" t="s">
        <v>1189</v>
      </c>
      <c r="J5" s="2" t="s">
        <v>1213</v>
      </c>
    </row>
    <row r="6" spans="1:10" ht="27.6">
      <c r="A6" s="2" t="s">
        <v>1214</v>
      </c>
      <c r="B6" s="2" t="s">
        <v>1215</v>
      </c>
      <c r="C6" s="2" t="s">
        <v>753</v>
      </c>
      <c r="D6" s="2">
        <v>1100000</v>
      </c>
      <c r="E6" s="2" t="s">
        <v>1050</v>
      </c>
      <c r="F6" s="2" t="s">
        <v>1210</v>
      </c>
      <c r="G6" s="2" t="s">
        <v>1216</v>
      </c>
      <c r="H6" s="2" t="s">
        <v>1212</v>
      </c>
      <c r="I6" s="2" t="s">
        <v>1189</v>
      </c>
      <c r="J6" s="2"/>
    </row>
    <row r="7" spans="1:10" ht="27.6">
      <c r="A7" s="2" t="s">
        <v>1217</v>
      </c>
      <c r="B7" s="2" t="s">
        <v>1218</v>
      </c>
      <c r="C7" s="2" t="s">
        <v>753</v>
      </c>
      <c r="D7" s="2">
        <v>4500000</v>
      </c>
      <c r="E7" s="2" t="s">
        <v>1050</v>
      </c>
      <c r="F7" s="2" t="s">
        <v>1219</v>
      </c>
      <c r="G7" s="2" t="s">
        <v>1220</v>
      </c>
      <c r="H7" s="2" t="s">
        <v>1212</v>
      </c>
      <c r="I7" s="2" t="s">
        <v>1206</v>
      </c>
      <c r="J7" s="2" t="s">
        <v>1221</v>
      </c>
    </row>
    <row r="8" spans="1:10" ht="27.6">
      <c r="A8" s="2" t="s">
        <v>1222</v>
      </c>
      <c r="B8" s="2" t="s">
        <v>1223</v>
      </c>
      <c r="C8" s="2" t="s">
        <v>753</v>
      </c>
      <c r="D8" s="2">
        <v>1800000</v>
      </c>
      <c r="E8" s="2" t="s">
        <v>1050</v>
      </c>
      <c r="F8" s="2" t="s">
        <v>1224</v>
      </c>
      <c r="G8" s="2" t="s">
        <v>1225</v>
      </c>
      <c r="H8" s="2" t="s">
        <v>1212</v>
      </c>
      <c r="I8" s="2" t="s">
        <v>1189</v>
      </c>
      <c r="J8" s="2"/>
    </row>
    <row r="9" spans="1:10" ht="27.6">
      <c r="A9" s="2" t="s">
        <v>1226</v>
      </c>
      <c r="B9" s="2" t="s">
        <v>1227</v>
      </c>
      <c r="C9" s="2" t="s">
        <v>753</v>
      </c>
      <c r="D9" s="2">
        <v>2700000</v>
      </c>
      <c r="E9" s="2" t="s">
        <v>1050</v>
      </c>
      <c r="F9" s="2" t="s">
        <v>1228</v>
      </c>
      <c r="G9" s="2" t="s">
        <v>1229</v>
      </c>
      <c r="H9" s="2" t="s">
        <v>1212</v>
      </c>
      <c r="I9" s="2" t="s">
        <v>1189</v>
      </c>
      <c r="J9" s="2"/>
    </row>
    <row r="10" spans="1:10" ht="27.6">
      <c r="A10" s="2" t="s">
        <v>1230</v>
      </c>
      <c r="B10" s="2" t="s">
        <v>1231</v>
      </c>
      <c r="C10" s="2" t="s">
        <v>753</v>
      </c>
      <c r="D10" s="2" t="s">
        <v>1232</v>
      </c>
      <c r="E10" s="2" t="s">
        <v>1050</v>
      </c>
      <c r="F10" s="2" t="s">
        <v>1233</v>
      </c>
      <c r="G10" s="2" t="s">
        <v>1234</v>
      </c>
      <c r="H10" s="2" t="s">
        <v>1212</v>
      </c>
      <c r="I10" s="2" t="s">
        <v>1189</v>
      </c>
      <c r="J10" s="2" t="s">
        <v>1235</v>
      </c>
    </row>
    <row r="11" spans="1:10" ht="41.4">
      <c r="A11" s="2" t="s">
        <v>1236</v>
      </c>
      <c r="B11" s="2" t="s">
        <v>1237</v>
      </c>
      <c r="C11" s="2" t="s">
        <v>46</v>
      </c>
      <c r="D11" s="2">
        <v>22000</v>
      </c>
      <c r="E11" s="2" t="s">
        <v>1238</v>
      </c>
      <c r="F11" s="2" t="s">
        <v>1239</v>
      </c>
      <c r="G11" s="2" t="s">
        <v>1240</v>
      </c>
      <c r="H11" s="2" t="s">
        <v>1241</v>
      </c>
      <c r="I11" s="2" t="s">
        <v>1206</v>
      </c>
      <c r="J11" s="2" t="s">
        <v>1242</v>
      </c>
    </row>
    <row r="12" spans="1:10" ht="27.6">
      <c r="A12" s="2" t="s">
        <v>1243</v>
      </c>
      <c r="B12" s="2" t="s">
        <v>1244</v>
      </c>
      <c r="C12" s="2" t="s">
        <v>46</v>
      </c>
      <c r="D12" s="2">
        <v>14000</v>
      </c>
      <c r="E12" s="2" t="s">
        <v>1238</v>
      </c>
      <c r="F12" s="2" t="s">
        <v>1245</v>
      </c>
      <c r="G12" s="2" t="s">
        <v>1240</v>
      </c>
      <c r="H12" s="2" t="s">
        <v>1241</v>
      </c>
      <c r="I12" s="2" t="s">
        <v>1206</v>
      </c>
      <c r="J12" s="2" t="s">
        <v>1242</v>
      </c>
    </row>
    <row r="13" spans="1:10" ht="27.6">
      <c r="A13" s="2" t="s">
        <v>1246</v>
      </c>
      <c r="B13" s="2" t="s">
        <v>1247</v>
      </c>
      <c r="C13" s="2" t="s">
        <v>20</v>
      </c>
      <c r="D13" s="2">
        <v>12000000</v>
      </c>
      <c r="E13" s="2" t="s">
        <v>1039</v>
      </c>
      <c r="F13" s="2" t="s">
        <v>1248</v>
      </c>
      <c r="G13" s="2" t="s">
        <v>1240</v>
      </c>
      <c r="H13" s="2" t="s">
        <v>1249</v>
      </c>
      <c r="I13" s="2" t="s">
        <v>1182</v>
      </c>
      <c r="J13" s="2" t="s">
        <v>1250</v>
      </c>
    </row>
    <row r="14" spans="1:10" ht="27.6">
      <c r="A14" s="2" t="s">
        <v>1251</v>
      </c>
      <c r="B14" s="2" t="s">
        <v>1252</v>
      </c>
      <c r="C14" s="2" t="s">
        <v>20</v>
      </c>
      <c r="D14" s="2">
        <v>5500000</v>
      </c>
      <c r="E14" s="2" t="s">
        <v>1039</v>
      </c>
      <c r="F14" s="2" t="s">
        <v>1253</v>
      </c>
      <c r="G14" s="2" t="s">
        <v>1240</v>
      </c>
      <c r="H14" s="2" t="s">
        <v>1249</v>
      </c>
      <c r="I14" s="2" t="s">
        <v>1182</v>
      </c>
      <c r="J14" s="2" t="s">
        <v>1250</v>
      </c>
    </row>
    <row r="15" spans="1:10" ht="27.6">
      <c r="A15" s="2" t="s">
        <v>1254</v>
      </c>
      <c r="B15" s="2" t="s">
        <v>1255</v>
      </c>
      <c r="C15" s="2" t="s">
        <v>20</v>
      </c>
      <c r="D15" s="2">
        <v>4000000</v>
      </c>
      <c r="E15" s="2" t="s">
        <v>1039</v>
      </c>
      <c r="F15" s="2" t="s">
        <v>1256</v>
      </c>
      <c r="G15" s="2" t="s">
        <v>1257</v>
      </c>
      <c r="H15" s="2" t="s">
        <v>1212</v>
      </c>
      <c r="I15" s="2" t="s">
        <v>1189</v>
      </c>
      <c r="J15" s="2"/>
    </row>
    <row r="16" spans="1:10" ht="27.6">
      <c r="A16" s="2" t="s">
        <v>1258</v>
      </c>
      <c r="B16" s="2" t="s">
        <v>1259</v>
      </c>
      <c r="C16" s="2" t="s">
        <v>20</v>
      </c>
      <c r="D16" s="2">
        <v>2500000</v>
      </c>
      <c r="E16" s="2" t="s">
        <v>1039</v>
      </c>
      <c r="F16" s="2" t="s">
        <v>1260</v>
      </c>
      <c r="G16" s="2" t="s">
        <v>1261</v>
      </c>
      <c r="H16" s="2" t="s">
        <v>1241</v>
      </c>
      <c r="I16" s="2" t="s">
        <v>1189</v>
      </c>
      <c r="J16" s="2"/>
    </row>
    <row r="17" spans="1:10">
      <c r="A17" s="2"/>
      <c r="B17" s="2"/>
      <c r="C17" s="2"/>
      <c r="D17" s="2"/>
      <c r="E17" s="2"/>
      <c r="F17" s="2"/>
      <c r="G17" s="2"/>
      <c r="H17" s="2"/>
      <c r="I17" s="2"/>
      <c r="J17" s="2"/>
    </row>
    <row r="18" spans="1:10">
      <c r="A18" s="2"/>
      <c r="B18" s="2"/>
      <c r="C18" s="2"/>
      <c r="D18" s="2"/>
      <c r="E18" s="2"/>
      <c r="F18" s="2"/>
      <c r="G18" s="2"/>
      <c r="H18" s="2"/>
      <c r="I18" s="2"/>
      <c r="J18" s="2"/>
    </row>
    <row r="19" spans="1:10" ht="55.2">
      <c r="A19" s="2" t="s">
        <v>1262</v>
      </c>
      <c r="B19" s="2"/>
      <c r="C19" s="2"/>
      <c r="D19" s="2"/>
      <c r="E19" s="2"/>
      <c r="F19" s="2"/>
      <c r="G19" s="2"/>
      <c r="H19" s="2"/>
      <c r="I19" s="2"/>
      <c r="J19" s="2"/>
    </row>
    <row r="20" spans="1:10" ht="55.2">
      <c r="A20" s="2" t="s">
        <v>488</v>
      </c>
      <c r="B20" s="2" t="s">
        <v>1263</v>
      </c>
      <c r="C20" s="2"/>
      <c r="D20" s="2"/>
      <c r="E20" s="2"/>
      <c r="F20" s="2"/>
      <c r="G20" s="2"/>
      <c r="H20" s="2"/>
      <c r="I20" s="2"/>
      <c r="J20" s="2"/>
    </row>
    <row r="21" spans="1:10" ht="69">
      <c r="A21" s="2" t="s">
        <v>490</v>
      </c>
      <c r="B21" s="2" t="s">
        <v>1264</v>
      </c>
      <c r="C21" s="2"/>
      <c r="D21" s="2"/>
      <c r="E21" s="2"/>
      <c r="F21" s="2"/>
      <c r="G21" s="2"/>
      <c r="H21" s="2"/>
      <c r="I21" s="2"/>
      <c r="J21" s="2"/>
    </row>
    <row r="22" spans="1:10" ht="96.6">
      <c r="A22" s="2" t="s">
        <v>492</v>
      </c>
      <c r="B22" s="2" t="s">
        <v>1265</v>
      </c>
      <c r="C22" s="2"/>
      <c r="D22" s="2"/>
      <c r="E22" s="2"/>
      <c r="F22" s="2"/>
      <c r="G22" s="2"/>
      <c r="H22" s="2"/>
      <c r="I22" s="2"/>
      <c r="J22" s="2"/>
    </row>
    <row r="23" spans="1:10" ht="69">
      <c r="A23" s="2" t="s">
        <v>494</v>
      </c>
      <c r="B23" s="2" t="s">
        <v>1266</v>
      </c>
      <c r="C23" s="2"/>
      <c r="D23" s="2"/>
      <c r="E23" s="2"/>
      <c r="F23" s="2"/>
      <c r="G23" s="2"/>
      <c r="H23" s="2"/>
      <c r="I23" s="2"/>
      <c r="J23" s="2"/>
    </row>
    <row r="24" spans="1:10" ht="55.2">
      <c r="A24" s="2" t="s">
        <v>496</v>
      </c>
      <c r="B24" s="2" t="s">
        <v>1267</v>
      </c>
      <c r="C24" s="2"/>
      <c r="D24" s="2"/>
      <c r="E24" s="2"/>
      <c r="F24" s="2"/>
      <c r="G24" s="2"/>
      <c r="H24" s="2"/>
      <c r="I24" s="2"/>
      <c r="J24" s="2"/>
    </row>
    <row r="25" spans="1:10">
      <c r="A25" s="2"/>
      <c r="B25" s="2"/>
      <c r="C25" s="2"/>
      <c r="D25" s="2"/>
      <c r="E25" s="2"/>
      <c r="F25" s="2"/>
      <c r="G25" s="2"/>
      <c r="H25" s="2"/>
      <c r="I25" s="2"/>
      <c r="J25" s="2"/>
    </row>
    <row r="26" spans="1:10">
      <c r="A26" s="2"/>
      <c r="B26" s="2"/>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sheetData>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workbookViewId="0">
      <selection activeCell="H7" sqref="H7"/>
    </sheetView>
  </sheetViews>
  <sheetFormatPr defaultColWidth="8.69921875" defaultRowHeight="13.8"/>
  <cols>
    <col min="1" max="1" width="9" style="8" customWidth="1"/>
    <col min="2" max="2" width="27" style="8" customWidth="1"/>
    <col min="3" max="3" width="60" style="8" customWidth="1"/>
    <col min="4" max="4" width="8" style="8" customWidth="1"/>
    <col min="5" max="5" width="9" style="8" customWidth="1"/>
    <col min="6" max="6" width="14" style="8" customWidth="1"/>
    <col min="7" max="7" width="16" style="8" customWidth="1"/>
    <col min="8" max="8" width="28" style="8" customWidth="1"/>
    <col min="9" max="9" width="29" style="8" customWidth="1"/>
    <col min="10" max="10" width="30" style="8" customWidth="1"/>
    <col min="11" max="11" width="15" style="8" customWidth="1"/>
    <col min="12" max="12" width="32" style="8" customWidth="1"/>
    <col min="13" max="16384" width="8.69921875" style="8"/>
  </cols>
  <sheetData>
    <row r="1" spans="1:12" ht="17.399999999999999">
      <c r="A1" s="111" t="s">
        <v>1268</v>
      </c>
      <c r="B1" s="111"/>
      <c r="C1" s="111"/>
      <c r="D1" s="111"/>
      <c r="E1" s="111"/>
      <c r="F1" s="111"/>
      <c r="G1" s="111"/>
      <c r="H1" s="111"/>
      <c r="I1" s="111"/>
      <c r="J1" s="111"/>
      <c r="K1" s="111"/>
      <c r="L1" s="111"/>
    </row>
    <row r="2" spans="1:12" ht="14.4">
      <c r="A2" s="112" t="s">
        <v>1269</v>
      </c>
      <c r="B2" s="112"/>
      <c r="C2" s="112"/>
      <c r="D2" s="112"/>
      <c r="E2" s="112"/>
      <c r="F2" s="112"/>
      <c r="G2" s="112"/>
      <c r="H2" s="112"/>
      <c r="I2" s="112"/>
      <c r="J2" s="112"/>
      <c r="K2" s="112"/>
      <c r="L2" s="112"/>
    </row>
    <row r="4" spans="1:12">
      <c r="A4" s="39" t="s">
        <v>619</v>
      </c>
      <c r="B4" s="39" t="s">
        <v>5</v>
      </c>
      <c r="C4" s="39" t="s">
        <v>1020</v>
      </c>
      <c r="D4" s="39" t="s">
        <v>8</v>
      </c>
      <c r="E4" s="39" t="s">
        <v>9</v>
      </c>
      <c r="F4" s="39" t="s">
        <v>10</v>
      </c>
      <c r="G4" s="39" t="s">
        <v>11</v>
      </c>
      <c r="H4" s="39" t="s">
        <v>1021</v>
      </c>
      <c r="I4" s="39" t="s">
        <v>1270</v>
      </c>
      <c r="J4" s="39" t="s">
        <v>1022</v>
      </c>
      <c r="K4" s="39" t="s">
        <v>4</v>
      </c>
      <c r="L4" s="39" t="s">
        <v>623</v>
      </c>
    </row>
    <row r="5" spans="1:12" ht="82.8">
      <c r="A5" s="6" t="s">
        <v>18</v>
      </c>
      <c r="B5" s="40" t="s">
        <v>1271</v>
      </c>
      <c r="C5" s="6" t="s">
        <v>1272</v>
      </c>
      <c r="D5" s="6" t="s">
        <v>20</v>
      </c>
      <c r="E5" s="41">
        <v>1</v>
      </c>
      <c r="F5" s="42">
        <v>60000</v>
      </c>
      <c r="G5" s="42">
        <f t="shared" ref="G5:G27" si="0">E5*F5</f>
        <v>60000</v>
      </c>
      <c r="H5" s="6" t="s">
        <v>1273</v>
      </c>
      <c r="I5" s="6" t="s">
        <v>1274</v>
      </c>
      <c r="J5" s="6" t="s">
        <v>1275</v>
      </c>
      <c r="K5" s="6" t="s">
        <v>657</v>
      </c>
      <c r="L5" s="6" t="s">
        <v>1276</v>
      </c>
    </row>
    <row r="6" spans="1:12" ht="61.05" customHeight="1">
      <c r="A6" s="6" t="s">
        <v>25</v>
      </c>
      <c r="B6" s="40" t="s">
        <v>1271</v>
      </c>
      <c r="C6" s="6" t="s">
        <v>1277</v>
      </c>
      <c r="D6" s="6" t="s">
        <v>20</v>
      </c>
      <c r="E6" s="41">
        <v>1</v>
      </c>
      <c r="F6" s="42">
        <v>800000</v>
      </c>
      <c r="G6" s="42">
        <f t="shared" si="0"/>
        <v>800000</v>
      </c>
      <c r="H6" s="6" t="s">
        <v>1273</v>
      </c>
      <c r="I6" s="6" t="s">
        <v>1278</v>
      </c>
      <c r="J6" s="6" t="s">
        <v>1279</v>
      </c>
      <c r="K6" s="6" t="s">
        <v>657</v>
      </c>
      <c r="L6" s="6" t="s">
        <v>1280</v>
      </c>
    </row>
    <row r="7" spans="1:12" ht="95.55" customHeight="1">
      <c r="A7" s="6" t="s">
        <v>63</v>
      </c>
      <c r="B7" s="40" t="s">
        <v>1281</v>
      </c>
      <c r="C7" s="6" t="s">
        <v>1282</v>
      </c>
      <c r="D7" s="6" t="s">
        <v>338</v>
      </c>
      <c r="E7" s="41">
        <v>1</v>
      </c>
      <c r="F7" s="42">
        <v>3000000</v>
      </c>
      <c r="G7" s="47">
        <f t="shared" si="0"/>
        <v>3000000</v>
      </c>
      <c r="H7" s="6" t="s">
        <v>1283</v>
      </c>
      <c r="I7" s="6" t="s">
        <v>1284</v>
      </c>
      <c r="J7" s="6" t="s">
        <v>1285</v>
      </c>
      <c r="K7" s="6" t="s">
        <v>1286</v>
      </c>
      <c r="L7" s="6" t="s">
        <v>1287</v>
      </c>
    </row>
    <row r="8" spans="1:12" ht="55.2">
      <c r="A8" s="6" t="s">
        <v>69</v>
      </c>
      <c r="B8" s="40" t="s">
        <v>1281</v>
      </c>
      <c r="C8" s="6" t="s">
        <v>1288</v>
      </c>
      <c r="D8" s="6" t="s">
        <v>338</v>
      </c>
      <c r="E8" s="41">
        <v>1</v>
      </c>
      <c r="F8" s="42">
        <v>4000000</v>
      </c>
      <c r="G8" s="47">
        <f t="shared" si="0"/>
        <v>4000000</v>
      </c>
      <c r="H8" s="6" t="s">
        <v>1283</v>
      </c>
      <c r="I8" s="6" t="s">
        <v>1289</v>
      </c>
      <c r="J8" s="6" t="s">
        <v>1285</v>
      </c>
      <c r="K8" s="6" t="s">
        <v>1286</v>
      </c>
      <c r="L8" s="6" t="s">
        <v>1290</v>
      </c>
    </row>
    <row r="9" spans="1:12" ht="55.2">
      <c r="A9" s="6" t="s">
        <v>75</v>
      </c>
      <c r="B9" s="40" t="s">
        <v>1281</v>
      </c>
      <c r="C9" s="6" t="s">
        <v>1291</v>
      </c>
      <c r="D9" s="6" t="s">
        <v>338</v>
      </c>
      <c r="E9" s="41">
        <v>1</v>
      </c>
      <c r="F9" s="42">
        <v>4000000</v>
      </c>
      <c r="G9" s="47">
        <f t="shared" si="0"/>
        <v>4000000</v>
      </c>
      <c r="H9" s="6" t="s">
        <v>1283</v>
      </c>
      <c r="I9" s="6" t="s">
        <v>1292</v>
      </c>
      <c r="J9" s="6" t="s">
        <v>1285</v>
      </c>
      <c r="K9" s="6" t="s">
        <v>1286</v>
      </c>
      <c r="L9" s="6" t="s">
        <v>1290</v>
      </c>
    </row>
    <row r="10" spans="1:12" ht="55.2">
      <c r="A10" s="6" t="s">
        <v>78</v>
      </c>
      <c r="B10" s="40" t="s">
        <v>1281</v>
      </c>
      <c r="C10" s="6" t="s">
        <v>1293</v>
      </c>
      <c r="D10" s="6" t="s">
        <v>338</v>
      </c>
      <c r="E10" s="41">
        <v>1</v>
      </c>
      <c r="F10" s="42">
        <v>2500000</v>
      </c>
      <c r="G10" s="47">
        <f t="shared" si="0"/>
        <v>2500000</v>
      </c>
      <c r="H10" s="6" t="s">
        <v>1273</v>
      </c>
      <c r="I10" s="6" t="s">
        <v>1294</v>
      </c>
      <c r="J10" s="6" t="s">
        <v>1295</v>
      </c>
      <c r="K10" s="6" t="s">
        <v>1286</v>
      </c>
      <c r="L10" s="6" t="s">
        <v>1296</v>
      </c>
    </row>
    <row r="11" spans="1:12" ht="55.2">
      <c r="A11" s="6" t="s">
        <v>84</v>
      </c>
      <c r="B11" s="40" t="s">
        <v>1281</v>
      </c>
      <c r="C11" s="6" t="s">
        <v>1297</v>
      </c>
      <c r="D11" s="6" t="s">
        <v>753</v>
      </c>
      <c r="E11" s="41">
        <v>1</v>
      </c>
      <c r="F11" s="42">
        <v>900000</v>
      </c>
      <c r="G11" s="42">
        <f t="shared" si="0"/>
        <v>900000</v>
      </c>
      <c r="H11" s="6" t="s">
        <v>1273</v>
      </c>
      <c r="I11" s="6" t="s">
        <v>1298</v>
      </c>
      <c r="J11" s="6" t="s">
        <v>1299</v>
      </c>
      <c r="K11" s="6" t="s">
        <v>657</v>
      </c>
      <c r="L11" s="6"/>
    </row>
    <row r="12" spans="1:12" ht="55.2">
      <c r="A12" s="6" t="s">
        <v>129</v>
      </c>
      <c r="B12" s="40" t="s">
        <v>1300</v>
      </c>
      <c r="C12" s="6" t="s">
        <v>1301</v>
      </c>
      <c r="D12" s="6" t="s">
        <v>103</v>
      </c>
      <c r="E12" s="41">
        <v>260</v>
      </c>
      <c r="F12" s="42">
        <v>9000</v>
      </c>
      <c r="G12" s="42">
        <f t="shared" si="0"/>
        <v>2340000</v>
      </c>
      <c r="H12" s="6" t="s">
        <v>1302</v>
      </c>
      <c r="I12" s="6" t="s">
        <v>1303</v>
      </c>
      <c r="J12" s="6" t="s">
        <v>1304</v>
      </c>
      <c r="K12" s="6" t="s">
        <v>1069</v>
      </c>
      <c r="L12" s="6" t="s">
        <v>1305</v>
      </c>
    </row>
    <row r="13" spans="1:12" ht="27.6">
      <c r="A13" s="6" t="s">
        <v>134</v>
      </c>
      <c r="B13" s="40" t="s">
        <v>1300</v>
      </c>
      <c r="C13" s="6" t="s">
        <v>1306</v>
      </c>
      <c r="D13" s="6" t="s">
        <v>103</v>
      </c>
      <c r="E13" s="41">
        <v>220</v>
      </c>
      <c r="F13" s="42">
        <v>13000</v>
      </c>
      <c r="G13" s="42">
        <f t="shared" si="0"/>
        <v>2860000</v>
      </c>
      <c r="H13" s="6" t="s">
        <v>1302</v>
      </c>
      <c r="I13" s="6" t="s">
        <v>1303</v>
      </c>
      <c r="J13" s="6" t="s">
        <v>1275</v>
      </c>
      <c r="K13" s="6" t="s">
        <v>1069</v>
      </c>
      <c r="L13" s="6" t="s">
        <v>1305</v>
      </c>
    </row>
    <row r="14" spans="1:12" ht="27.6">
      <c r="A14" s="6" t="s">
        <v>139</v>
      </c>
      <c r="B14" s="40" t="s">
        <v>1300</v>
      </c>
      <c r="C14" s="6" t="s">
        <v>1307</v>
      </c>
      <c r="D14" s="6" t="s">
        <v>103</v>
      </c>
      <c r="E14" s="41">
        <v>140</v>
      </c>
      <c r="F14" s="42">
        <v>17000</v>
      </c>
      <c r="G14" s="42">
        <f t="shared" si="0"/>
        <v>2380000</v>
      </c>
      <c r="H14" s="6" t="s">
        <v>1302</v>
      </c>
      <c r="I14" s="6" t="s">
        <v>1303</v>
      </c>
      <c r="J14" s="6" t="s">
        <v>1275</v>
      </c>
      <c r="K14" s="6" t="s">
        <v>1069</v>
      </c>
      <c r="L14" s="6" t="s">
        <v>1305</v>
      </c>
    </row>
    <row r="15" spans="1:12" ht="27.6">
      <c r="A15" s="6" t="s">
        <v>141</v>
      </c>
      <c r="B15" s="40" t="s">
        <v>1300</v>
      </c>
      <c r="C15" s="6" t="s">
        <v>1308</v>
      </c>
      <c r="D15" s="6" t="s">
        <v>103</v>
      </c>
      <c r="E15" s="41">
        <v>80</v>
      </c>
      <c r="F15" s="42">
        <v>23000</v>
      </c>
      <c r="G15" s="42">
        <f t="shared" si="0"/>
        <v>1840000</v>
      </c>
      <c r="H15" s="6" t="s">
        <v>1302</v>
      </c>
      <c r="I15" s="6" t="s">
        <v>1303</v>
      </c>
      <c r="J15" s="6" t="s">
        <v>1275</v>
      </c>
      <c r="K15" s="6" t="s">
        <v>1069</v>
      </c>
      <c r="L15" s="6" t="s">
        <v>1305</v>
      </c>
    </row>
    <row r="16" spans="1:12" ht="27.6">
      <c r="A16" s="6" t="s">
        <v>147</v>
      </c>
      <c r="B16" s="40" t="s">
        <v>1300</v>
      </c>
      <c r="C16" s="6" t="s">
        <v>1309</v>
      </c>
      <c r="D16" s="6" t="s">
        <v>103</v>
      </c>
      <c r="E16" s="41">
        <v>40</v>
      </c>
      <c r="F16" s="42">
        <v>31000</v>
      </c>
      <c r="G16" s="42">
        <f t="shared" si="0"/>
        <v>1240000</v>
      </c>
      <c r="H16" s="6" t="s">
        <v>1302</v>
      </c>
      <c r="I16" s="6" t="s">
        <v>1303</v>
      </c>
      <c r="J16" s="6" t="s">
        <v>1275</v>
      </c>
      <c r="K16" s="6" t="s">
        <v>1069</v>
      </c>
      <c r="L16" s="6" t="s">
        <v>1305</v>
      </c>
    </row>
    <row r="17" spans="1:12" ht="41.4">
      <c r="A17" s="6" t="s">
        <v>156</v>
      </c>
      <c r="B17" s="40" t="s">
        <v>1300</v>
      </c>
      <c r="C17" s="6" t="s">
        <v>1310</v>
      </c>
      <c r="D17" s="6" t="s">
        <v>753</v>
      </c>
      <c r="E17" s="41">
        <v>4</v>
      </c>
      <c r="F17" s="42">
        <v>250000</v>
      </c>
      <c r="G17" s="42">
        <f t="shared" si="0"/>
        <v>1000000</v>
      </c>
      <c r="H17" s="6" t="s">
        <v>1311</v>
      </c>
      <c r="I17" s="6" t="s">
        <v>1312</v>
      </c>
      <c r="J17" s="6" t="s">
        <v>1275</v>
      </c>
      <c r="K17" s="6" t="s">
        <v>657</v>
      </c>
      <c r="L17" s="6" t="s">
        <v>1313</v>
      </c>
    </row>
    <row r="18" spans="1:12" ht="41.4">
      <c r="A18" s="6" t="s">
        <v>160</v>
      </c>
      <c r="B18" s="40" t="s">
        <v>1300</v>
      </c>
      <c r="C18" s="6" t="s">
        <v>1314</v>
      </c>
      <c r="D18" s="6" t="s">
        <v>20</v>
      </c>
      <c r="E18" s="41">
        <v>1</v>
      </c>
      <c r="F18" s="42">
        <v>500000</v>
      </c>
      <c r="G18" s="42">
        <f t="shared" si="0"/>
        <v>500000</v>
      </c>
      <c r="H18" s="6" t="s">
        <v>1315</v>
      </c>
      <c r="I18" s="6" t="s">
        <v>1316</v>
      </c>
      <c r="J18" s="6" t="s">
        <v>1275</v>
      </c>
      <c r="K18" s="6" t="s">
        <v>657</v>
      </c>
      <c r="L18" s="6"/>
    </row>
    <row r="19" spans="1:12" ht="55.2">
      <c r="A19" s="6" t="s">
        <v>183</v>
      </c>
      <c r="B19" s="40" t="s">
        <v>1317</v>
      </c>
      <c r="C19" s="6" t="s">
        <v>1318</v>
      </c>
      <c r="D19" s="6" t="s">
        <v>753</v>
      </c>
      <c r="E19" s="41">
        <v>4</v>
      </c>
      <c r="F19" s="42">
        <v>450000</v>
      </c>
      <c r="G19" s="42">
        <f t="shared" si="0"/>
        <v>1800000</v>
      </c>
      <c r="H19" s="6" t="s">
        <v>1319</v>
      </c>
      <c r="I19" s="6" t="s">
        <v>1320</v>
      </c>
      <c r="J19" s="6" t="s">
        <v>1321</v>
      </c>
      <c r="K19" s="6" t="s">
        <v>657</v>
      </c>
      <c r="L19" s="6" t="s">
        <v>1322</v>
      </c>
    </row>
    <row r="20" spans="1:12" ht="41.4">
      <c r="A20" s="6" t="s">
        <v>188</v>
      </c>
      <c r="B20" s="40" t="s">
        <v>1317</v>
      </c>
      <c r="C20" s="6" t="s">
        <v>1323</v>
      </c>
      <c r="D20" s="6" t="s">
        <v>753</v>
      </c>
      <c r="E20" s="41">
        <v>4</v>
      </c>
      <c r="F20" s="42">
        <v>380000</v>
      </c>
      <c r="G20" s="42">
        <f t="shared" si="0"/>
        <v>1520000</v>
      </c>
      <c r="H20" s="6" t="s">
        <v>1319</v>
      </c>
      <c r="I20" s="6" t="s">
        <v>1324</v>
      </c>
      <c r="J20" s="6" t="s">
        <v>1275</v>
      </c>
      <c r="K20" s="6" t="s">
        <v>657</v>
      </c>
      <c r="L20" s="6" t="s">
        <v>1325</v>
      </c>
    </row>
    <row r="21" spans="1:12" ht="55.2">
      <c r="A21" s="6" t="s">
        <v>193</v>
      </c>
      <c r="B21" s="40" t="s">
        <v>1317</v>
      </c>
      <c r="C21" s="6" t="s">
        <v>1326</v>
      </c>
      <c r="D21" s="6" t="s">
        <v>753</v>
      </c>
      <c r="E21" s="41">
        <v>2</v>
      </c>
      <c r="F21" s="42">
        <v>650000</v>
      </c>
      <c r="G21" s="42">
        <f t="shared" si="0"/>
        <v>1300000</v>
      </c>
      <c r="H21" s="6" t="s">
        <v>1319</v>
      </c>
      <c r="I21" s="6" t="s">
        <v>1327</v>
      </c>
      <c r="J21" s="6" t="s">
        <v>1328</v>
      </c>
      <c r="K21" s="6" t="s">
        <v>657</v>
      </c>
      <c r="L21" s="6"/>
    </row>
    <row r="22" spans="1:12" ht="41.4">
      <c r="A22" s="6" t="s">
        <v>198</v>
      </c>
      <c r="B22" s="40" t="s">
        <v>1317</v>
      </c>
      <c r="C22" s="6" t="s">
        <v>1329</v>
      </c>
      <c r="D22" s="6" t="s">
        <v>753</v>
      </c>
      <c r="E22" s="41">
        <v>12</v>
      </c>
      <c r="F22" s="42">
        <v>90000</v>
      </c>
      <c r="G22" s="42">
        <f t="shared" si="0"/>
        <v>1080000</v>
      </c>
      <c r="H22" s="6" t="s">
        <v>1273</v>
      </c>
      <c r="I22" s="6" t="s">
        <v>1330</v>
      </c>
      <c r="J22" s="6" t="s">
        <v>1275</v>
      </c>
      <c r="K22" s="6" t="s">
        <v>1069</v>
      </c>
      <c r="L22" s="6" t="s">
        <v>1331</v>
      </c>
    </row>
    <row r="23" spans="1:12" s="38" customFormat="1" ht="82.8">
      <c r="A23" s="37" t="s">
        <v>215</v>
      </c>
      <c r="B23" s="37" t="s">
        <v>1332</v>
      </c>
      <c r="C23" s="37" t="s">
        <v>1333</v>
      </c>
      <c r="D23" s="37" t="s">
        <v>753</v>
      </c>
      <c r="E23" s="45">
        <v>51</v>
      </c>
      <c r="F23" s="46">
        <v>55000</v>
      </c>
      <c r="G23" s="46">
        <f t="shared" si="0"/>
        <v>2805000</v>
      </c>
      <c r="H23" s="37" t="s">
        <v>1319</v>
      </c>
      <c r="I23" s="37" t="s">
        <v>1334</v>
      </c>
      <c r="J23" s="37" t="s">
        <v>1335</v>
      </c>
      <c r="K23" s="37" t="s">
        <v>1069</v>
      </c>
      <c r="L23" s="37" t="s">
        <v>1336</v>
      </c>
    </row>
    <row r="24" spans="1:12" ht="55.2">
      <c r="A24" s="6" t="s">
        <v>221</v>
      </c>
      <c r="B24" s="40" t="s">
        <v>1332</v>
      </c>
      <c r="C24" s="6" t="s">
        <v>1337</v>
      </c>
      <c r="D24" s="6" t="s">
        <v>286</v>
      </c>
      <c r="E24" s="41">
        <v>8</v>
      </c>
      <c r="F24" s="42">
        <v>125000</v>
      </c>
      <c r="G24" s="42">
        <f t="shared" si="0"/>
        <v>1000000</v>
      </c>
      <c r="H24" s="6" t="s">
        <v>1088</v>
      </c>
      <c r="I24" s="6" t="s">
        <v>1338</v>
      </c>
      <c r="J24" s="6" t="s">
        <v>1339</v>
      </c>
      <c r="K24" s="6" t="s">
        <v>657</v>
      </c>
      <c r="L24" s="6" t="s">
        <v>1340</v>
      </c>
    </row>
    <row r="25" spans="1:12" ht="55.2">
      <c r="A25" s="6" t="s">
        <v>271</v>
      </c>
      <c r="B25" s="40" t="s">
        <v>1341</v>
      </c>
      <c r="C25" s="6" t="s">
        <v>1342</v>
      </c>
      <c r="D25" s="6" t="s">
        <v>20</v>
      </c>
      <c r="E25" s="41">
        <v>1</v>
      </c>
      <c r="F25" s="42">
        <v>1800000</v>
      </c>
      <c r="G25" s="42">
        <f t="shared" si="0"/>
        <v>1800000</v>
      </c>
      <c r="H25" s="6" t="s">
        <v>1343</v>
      </c>
      <c r="I25" s="6" t="s">
        <v>1344</v>
      </c>
      <c r="J25" s="6" t="s">
        <v>1345</v>
      </c>
      <c r="K25" s="6" t="s">
        <v>657</v>
      </c>
      <c r="L25" s="6" t="s">
        <v>1346</v>
      </c>
    </row>
    <row r="26" spans="1:12" ht="41.4">
      <c r="A26" s="6" t="s">
        <v>276</v>
      </c>
      <c r="B26" s="40" t="s">
        <v>1341</v>
      </c>
      <c r="C26" s="6" t="s">
        <v>1347</v>
      </c>
      <c r="D26" s="6" t="s">
        <v>20</v>
      </c>
      <c r="E26" s="41">
        <v>1</v>
      </c>
      <c r="F26" s="42">
        <v>1000000</v>
      </c>
      <c r="G26" s="42">
        <f t="shared" si="0"/>
        <v>1000000</v>
      </c>
      <c r="H26" s="6" t="s">
        <v>1348</v>
      </c>
      <c r="I26" s="6" t="s">
        <v>1349</v>
      </c>
      <c r="J26" s="6" t="s">
        <v>1275</v>
      </c>
      <c r="K26" s="6" t="s">
        <v>657</v>
      </c>
      <c r="L26" s="6"/>
    </row>
    <row r="27" spans="1:12" ht="55.2">
      <c r="A27" s="6" t="s">
        <v>277</v>
      </c>
      <c r="B27" s="40" t="s">
        <v>1341</v>
      </c>
      <c r="C27" s="6" t="s">
        <v>1350</v>
      </c>
      <c r="D27" s="6" t="s">
        <v>20</v>
      </c>
      <c r="E27" s="41">
        <v>1</v>
      </c>
      <c r="F27" s="42">
        <v>800000</v>
      </c>
      <c r="G27" s="42">
        <f t="shared" si="0"/>
        <v>800000</v>
      </c>
      <c r="H27" s="6" t="s">
        <v>1315</v>
      </c>
      <c r="I27" s="6" t="s">
        <v>1113</v>
      </c>
      <c r="J27" s="6" t="s">
        <v>1351</v>
      </c>
      <c r="K27" s="6" t="s">
        <v>657</v>
      </c>
      <c r="L27" s="6"/>
    </row>
    <row r="28" spans="1:12">
      <c r="A28" s="6"/>
      <c r="B28" s="6"/>
      <c r="C28" s="6"/>
      <c r="D28" s="6"/>
      <c r="E28" s="6"/>
      <c r="F28" s="6"/>
      <c r="G28" s="6"/>
      <c r="H28" s="6"/>
      <c r="I28" s="6"/>
      <c r="J28" s="6"/>
      <c r="K28" s="6"/>
      <c r="L28" s="6"/>
    </row>
    <row r="29" spans="1:12">
      <c r="A29" s="6"/>
      <c r="B29" s="6"/>
      <c r="C29" s="6"/>
      <c r="D29" s="6"/>
      <c r="E29" s="6"/>
      <c r="F29" s="6"/>
      <c r="G29" s="6"/>
      <c r="H29" s="6"/>
      <c r="I29" s="6"/>
      <c r="J29" s="6"/>
      <c r="K29" s="6"/>
      <c r="L29" s="6"/>
    </row>
    <row r="30" spans="1:12">
      <c r="A30" s="6"/>
      <c r="B30" s="6"/>
      <c r="C30" s="6"/>
      <c r="D30" s="6"/>
      <c r="E30" s="6"/>
      <c r="F30" s="9" t="s">
        <v>1115</v>
      </c>
      <c r="G30" s="43">
        <f>SUM(G5:G27)</f>
        <v>40525000</v>
      </c>
      <c r="H30" s="6"/>
      <c r="I30" s="6"/>
      <c r="J30" s="6"/>
      <c r="K30" s="6"/>
      <c r="L30" s="6"/>
    </row>
  </sheetData>
  <mergeCells count="2">
    <mergeCell ref="A1:L1"/>
    <mergeCell ref="A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0"/>
  <sheetViews>
    <sheetView workbookViewId="0">
      <selection sqref="A1:H1"/>
    </sheetView>
  </sheetViews>
  <sheetFormatPr defaultRowHeight="13.8"/>
  <cols>
    <col min="1" max="1" width="30" customWidth="1"/>
    <col min="2" max="2" width="34" customWidth="1"/>
    <col min="3" max="3" width="32" customWidth="1"/>
    <col min="4" max="4" width="30" customWidth="1"/>
    <col min="5" max="5" width="34" customWidth="1"/>
    <col min="6" max="6" width="17" customWidth="1"/>
    <col min="7" max="7" width="20" customWidth="1"/>
    <col min="8" max="8" width="32" customWidth="1"/>
  </cols>
  <sheetData>
    <row r="1" spans="1:8" ht="17.399999999999999">
      <c r="A1" s="113" t="s">
        <v>1352</v>
      </c>
      <c r="B1" s="113"/>
      <c r="C1" s="113"/>
      <c r="D1" s="113"/>
      <c r="E1" s="113"/>
      <c r="F1" s="113"/>
      <c r="G1" s="113"/>
      <c r="H1" s="113"/>
    </row>
    <row r="2" spans="1:8">
      <c r="A2" s="2"/>
      <c r="B2" s="2"/>
      <c r="C2" s="2"/>
      <c r="D2" s="2"/>
      <c r="E2" s="2"/>
      <c r="F2" s="2"/>
      <c r="G2" s="2"/>
      <c r="H2" s="2"/>
    </row>
    <row r="3" spans="1:8">
      <c r="A3" s="12" t="s">
        <v>1121</v>
      </c>
      <c r="B3" s="12" t="s">
        <v>1353</v>
      </c>
      <c r="C3" s="12" t="s">
        <v>1354</v>
      </c>
      <c r="D3" s="12" t="s">
        <v>1125</v>
      </c>
      <c r="E3" s="12" t="s">
        <v>1355</v>
      </c>
      <c r="F3" s="12" t="s">
        <v>1356</v>
      </c>
      <c r="G3" s="12" t="s">
        <v>1357</v>
      </c>
      <c r="H3" s="12" t="s">
        <v>1358</v>
      </c>
    </row>
    <row r="4" spans="1:8" ht="27.6">
      <c r="A4" s="2" t="s">
        <v>1359</v>
      </c>
      <c r="B4" s="2" t="s">
        <v>1360</v>
      </c>
      <c r="C4" s="2" t="s">
        <v>1132</v>
      </c>
      <c r="D4" s="2" t="s">
        <v>1133</v>
      </c>
      <c r="E4" s="2" t="s">
        <v>1361</v>
      </c>
      <c r="F4" s="2" t="s">
        <v>1143</v>
      </c>
      <c r="G4" s="2" t="s">
        <v>1362</v>
      </c>
      <c r="H4" s="2" t="s">
        <v>1363</v>
      </c>
    </row>
    <row r="5" spans="1:8" ht="27.6">
      <c r="A5" s="2" t="s">
        <v>1364</v>
      </c>
      <c r="B5" s="2" t="s">
        <v>1365</v>
      </c>
      <c r="C5" s="2" t="s">
        <v>1132</v>
      </c>
      <c r="D5" s="2" t="s">
        <v>1133</v>
      </c>
      <c r="E5" s="2" t="s">
        <v>1366</v>
      </c>
      <c r="F5" s="2" t="s">
        <v>1143</v>
      </c>
      <c r="G5" s="2" t="s">
        <v>1362</v>
      </c>
      <c r="H5" s="2" t="s">
        <v>1367</v>
      </c>
    </row>
    <row r="6" spans="1:8" ht="41.4">
      <c r="A6" s="2" t="s">
        <v>1368</v>
      </c>
      <c r="B6" s="2" t="s">
        <v>1369</v>
      </c>
      <c r="C6" s="2" t="s">
        <v>1370</v>
      </c>
      <c r="D6" s="2" t="s">
        <v>1371</v>
      </c>
      <c r="E6" s="2" t="s">
        <v>1372</v>
      </c>
      <c r="F6" s="2" t="s">
        <v>1143</v>
      </c>
      <c r="G6" s="2" t="s">
        <v>1373</v>
      </c>
      <c r="H6" s="2" t="s">
        <v>1374</v>
      </c>
    </row>
    <row r="7" spans="1:8" ht="41.4">
      <c r="A7" s="2" t="s">
        <v>1375</v>
      </c>
      <c r="B7" s="2" t="s">
        <v>1376</v>
      </c>
      <c r="C7" s="2" t="s">
        <v>1377</v>
      </c>
      <c r="D7" s="2" t="s">
        <v>1378</v>
      </c>
      <c r="E7" s="2" t="s">
        <v>1379</v>
      </c>
      <c r="F7" s="2" t="s">
        <v>1143</v>
      </c>
      <c r="G7" s="2" t="s">
        <v>1380</v>
      </c>
      <c r="H7" s="2" t="s">
        <v>1381</v>
      </c>
    </row>
    <row r="8" spans="1:8" ht="27.6">
      <c r="A8" s="2" t="s">
        <v>1382</v>
      </c>
      <c r="B8" s="2" t="s">
        <v>1383</v>
      </c>
      <c r="C8" s="2" t="s">
        <v>1179</v>
      </c>
      <c r="D8" s="2" t="s">
        <v>1384</v>
      </c>
      <c r="E8" s="2" t="s">
        <v>1385</v>
      </c>
      <c r="F8" s="2" t="s">
        <v>1182</v>
      </c>
      <c r="G8" s="2" t="s">
        <v>1386</v>
      </c>
      <c r="H8" s="2" t="s">
        <v>1387</v>
      </c>
    </row>
    <row r="9" spans="1:8" ht="27.6">
      <c r="A9" s="2" t="s">
        <v>1388</v>
      </c>
      <c r="B9" s="2" t="s">
        <v>1389</v>
      </c>
      <c r="C9" s="2" t="s">
        <v>1179</v>
      </c>
      <c r="D9" s="2" t="s">
        <v>1390</v>
      </c>
      <c r="E9" s="2" t="s">
        <v>1391</v>
      </c>
      <c r="F9" s="2" t="s">
        <v>1206</v>
      </c>
      <c r="G9" s="2" t="s">
        <v>1392</v>
      </c>
      <c r="H9" s="2" t="s">
        <v>1393</v>
      </c>
    </row>
    <row r="10" spans="1:8" ht="41.4">
      <c r="A10" s="2" t="s">
        <v>1394</v>
      </c>
      <c r="B10" s="2" t="s">
        <v>1395</v>
      </c>
      <c r="C10" s="2" t="s">
        <v>1396</v>
      </c>
      <c r="D10" s="2" t="s">
        <v>1397</v>
      </c>
      <c r="E10" s="2" t="s">
        <v>1398</v>
      </c>
      <c r="F10" s="2" t="s">
        <v>1182</v>
      </c>
      <c r="G10" s="2" t="s">
        <v>1399</v>
      </c>
      <c r="H10" s="2" t="s">
        <v>1400</v>
      </c>
    </row>
    <row r="11" spans="1:8" ht="41.4">
      <c r="A11" s="2" t="s">
        <v>1401</v>
      </c>
      <c r="B11" s="2" t="s">
        <v>1402</v>
      </c>
      <c r="C11" s="2" t="s">
        <v>1403</v>
      </c>
      <c r="D11" s="2" t="s">
        <v>1404</v>
      </c>
      <c r="E11" s="2" t="s">
        <v>1405</v>
      </c>
      <c r="F11" s="2" t="s">
        <v>1189</v>
      </c>
      <c r="G11" s="2" t="s">
        <v>1406</v>
      </c>
      <c r="H11" s="2" t="s">
        <v>1407</v>
      </c>
    </row>
    <row r="12" spans="1:8" ht="41.4">
      <c r="A12" s="2" t="s">
        <v>1408</v>
      </c>
      <c r="B12" s="2" t="s">
        <v>1409</v>
      </c>
      <c r="C12" s="2" t="s">
        <v>1410</v>
      </c>
      <c r="D12" s="2" t="s">
        <v>1411</v>
      </c>
      <c r="E12" s="2" t="s">
        <v>1412</v>
      </c>
      <c r="F12" s="2" t="s">
        <v>1189</v>
      </c>
      <c r="G12" s="2" t="s">
        <v>1413</v>
      </c>
      <c r="H12" s="2" t="s">
        <v>1414</v>
      </c>
    </row>
    <row r="13" spans="1:8" ht="27.6">
      <c r="A13" s="2" t="s">
        <v>1415</v>
      </c>
      <c r="B13" s="2" t="s">
        <v>1416</v>
      </c>
      <c r="C13" s="2" t="s">
        <v>1417</v>
      </c>
      <c r="D13" s="2" t="s">
        <v>1418</v>
      </c>
      <c r="E13" s="2" t="s">
        <v>1419</v>
      </c>
      <c r="F13" s="2" t="s">
        <v>1189</v>
      </c>
      <c r="G13" s="2" t="s">
        <v>1413</v>
      </c>
      <c r="H13" s="2" t="s">
        <v>1420</v>
      </c>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0"/>
  <sheetViews>
    <sheetView workbookViewId="0">
      <selection sqref="A1:J1"/>
    </sheetView>
  </sheetViews>
  <sheetFormatPr defaultRowHeight="13.8"/>
  <cols>
    <col min="1" max="1" width="10" customWidth="1"/>
    <col min="2" max="2" width="32" customWidth="1"/>
    <col min="3" max="3" width="10" customWidth="1"/>
    <col min="4" max="4" width="18" customWidth="1"/>
    <col min="5" max="5" width="28" customWidth="1"/>
    <col min="6" max="6" width="38" customWidth="1"/>
    <col min="7" max="7" width="32" customWidth="1"/>
    <col min="8" max="8" width="18" customWidth="1"/>
    <col min="9" max="9" width="16" customWidth="1"/>
    <col min="10" max="10" width="38" customWidth="1"/>
  </cols>
  <sheetData>
    <row r="1" spans="1:10" ht="17.399999999999999">
      <c r="A1" s="113" t="s">
        <v>1421</v>
      </c>
      <c r="B1" s="113"/>
      <c r="C1" s="113"/>
      <c r="D1" s="113"/>
      <c r="E1" s="113"/>
      <c r="F1" s="113"/>
      <c r="G1" s="113"/>
      <c r="H1" s="113"/>
      <c r="I1" s="113"/>
      <c r="J1" s="113"/>
    </row>
    <row r="2" spans="1:10">
      <c r="A2" s="2"/>
      <c r="B2" s="2"/>
      <c r="C2" s="2"/>
      <c r="D2" s="2"/>
      <c r="E2" s="2"/>
      <c r="F2" s="2"/>
      <c r="G2" s="2"/>
      <c r="H2" s="2"/>
      <c r="I2" s="2"/>
      <c r="J2" s="2"/>
    </row>
    <row r="3" spans="1:10">
      <c r="A3" s="12" t="s">
        <v>367</v>
      </c>
      <c r="B3" s="12" t="s">
        <v>1197</v>
      </c>
      <c r="C3" s="12" t="s">
        <v>8</v>
      </c>
      <c r="D3" s="12" t="s">
        <v>504</v>
      </c>
      <c r="E3" s="12" t="s">
        <v>12</v>
      </c>
      <c r="F3" s="12" t="s">
        <v>1422</v>
      </c>
      <c r="G3" s="12" t="s">
        <v>1423</v>
      </c>
      <c r="H3" s="12" t="s">
        <v>1199</v>
      </c>
      <c r="I3" s="12" t="s">
        <v>1200</v>
      </c>
      <c r="J3" s="12" t="s">
        <v>507</v>
      </c>
    </row>
    <row r="4" spans="1:10" ht="27.6">
      <c r="A4" s="2" t="s">
        <v>1424</v>
      </c>
      <c r="B4" s="2" t="s">
        <v>1425</v>
      </c>
      <c r="C4" s="2" t="s">
        <v>338</v>
      </c>
      <c r="D4" s="2">
        <v>3000000</v>
      </c>
      <c r="E4" s="2" t="s">
        <v>1426</v>
      </c>
      <c r="F4" s="2" t="s">
        <v>1427</v>
      </c>
      <c r="G4" s="2" t="s">
        <v>1428</v>
      </c>
      <c r="H4" s="2" t="s">
        <v>1429</v>
      </c>
      <c r="I4" s="2" t="s">
        <v>1182</v>
      </c>
      <c r="J4" s="2" t="s">
        <v>1430</v>
      </c>
    </row>
    <row r="5" spans="1:10" ht="41.4">
      <c r="A5" s="2" t="s">
        <v>1431</v>
      </c>
      <c r="B5" s="2" t="s">
        <v>1432</v>
      </c>
      <c r="C5" s="2" t="s">
        <v>338</v>
      </c>
      <c r="D5" s="2">
        <v>4000000</v>
      </c>
      <c r="E5" s="2" t="s">
        <v>1426</v>
      </c>
      <c r="F5" s="2" t="s">
        <v>1433</v>
      </c>
      <c r="G5" s="2" t="s">
        <v>1434</v>
      </c>
      <c r="H5" s="2" t="s">
        <v>1212</v>
      </c>
      <c r="I5" s="2" t="s">
        <v>1182</v>
      </c>
      <c r="J5" s="2" t="s">
        <v>1435</v>
      </c>
    </row>
    <row r="6" spans="1:10" ht="27.6">
      <c r="A6" s="2" t="s">
        <v>1436</v>
      </c>
      <c r="B6" s="2" t="s">
        <v>1437</v>
      </c>
      <c r="C6" s="2" t="s">
        <v>338</v>
      </c>
      <c r="D6" s="2">
        <v>4000000</v>
      </c>
      <c r="E6" s="2" t="s">
        <v>1426</v>
      </c>
      <c r="F6" s="2" t="s">
        <v>1438</v>
      </c>
      <c r="G6" s="2" t="s">
        <v>1439</v>
      </c>
      <c r="H6" s="2" t="s">
        <v>1212</v>
      </c>
      <c r="I6" s="2" t="s">
        <v>1182</v>
      </c>
      <c r="J6" s="2" t="s">
        <v>1435</v>
      </c>
    </row>
    <row r="7" spans="1:10" ht="27.6">
      <c r="A7" s="2" t="s">
        <v>1440</v>
      </c>
      <c r="B7" s="2" t="s">
        <v>1441</v>
      </c>
      <c r="C7" s="2" t="s">
        <v>338</v>
      </c>
      <c r="D7" s="2">
        <v>2500000</v>
      </c>
      <c r="E7" s="2" t="s">
        <v>1273</v>
      </c>
      <c r="F7" s="2" t="s">
        <v>1442</v>
      </c>
      <c r="G7" s="2" t="s">
        <v>1443</v>
      </c>
      <c r="H7" s="2" t="s">
        <v>1212</v>
      </c>
      <c r="I7" s="2" t="s">
        <v>1206</v>
      </c>
      <c r="J7" s="2" t="s">
        <v>1444</v>
      </c>
    </row>
    <row r="8" spans="1:10" ht="41.4">
      <c r="A8" s="2" t="s">
        <v>1445</v>
      </c>
      <c r="B8" s="2" t="s">
        <v>1446</v>
      </c>
      <c r="C8" s="2" t="s">
        <v>103</v>
      </c>
      <c r="D8" s="2">
        <v>9000</v>
      </c>
      <c r="E8" s="2" t="s">
        <v>1238</v>
      </c>
      <c r="F8" s="2" t="s">
        <v>1447</v>
      </c>
      <c r="G8" s="2" t="s">
        <v>1448</v>
      </c>
      <c r="H8" s="2" t="s">
        <v>1241</v>
      </c>
      <c r="I8" s="2" t="s">
        <v>1189</v>
      </c>
      <c r="J8" s="2" t="s">
        <v>1449</v>
      </c>
    </row>
    <row r="9" spans="1:10" ht="27.6">
      <c r="A9" s="2" t="s">
        <v>1450</v>
      </c>
      <c r="B9" s="2" t="s">
        <v>1451</v>
      </c>
      <c r="C9" s="2" t="s">
        <v>103</v>
      </c>
      <c r="D9" s="2">
        <v>13000</v>
      </c>
      <c r="E9" s="2" t="s">
        <v>1238</v>
      </c>
      <c r="F9" s="2" t="s">
        <v>1452</v>
      </c>
      <c r="G9" s="2" t="s">
        <v>1448</v>
      </c>
      <c r="H9" s="2" t="s">
        <v>1241</v>
      </c>
      <c r="I9" s="2" t="s">
        <v>1189</v>
      </c>
      <c r="J9" s="2"/>
    </row>
    <row r="10" spans="1:10" ht="27.6">
      <c r="A10" s="2" t="s">
        <v>1453</v>
      </c>
      <c r="B10" s="2" t="s">
        <v>1454</v>
      </c>
      <c r="C10" s="2" t="s">
        <v>103</v>
      </c>
      <c r="D10" s="2">
        <v>17000</v>
      </c>
      <c r="E10" s="2" t="s">
        <v>1238</v>
      </c>
      <c r="F10" s="2" t="s">
        <v>1452</v>
      </c>
      <c r="G10" s="2" t="s">
        <v>1448</v>
      </c>
      <c r="H10" s="2" t="s">
        <v>1241</v>
      </c>
      <c r="I10" s="2" t="s">
        <v>1189</v>
      </c>
      <c r="J10" s="2"/>
    </row>
    <row r="11" spans="1:10" ht="27.6">
      <c r="A11" s="2" t="s">
        <v>1455</v>
      </c>
      <c r="B11" s="2" t="s">
        <v>1456</v>
      </c>
      <c r="C11" s="2" t="s">
        <v>103</v>
      </c>
      <c r="D11" s="2">
        <v>23000</v>
      </c>
      <c r="E11" s="2" t="s">
        <v>1238</v>
      </c>
      <c r="F11" s="2" t="s">
        <v>1452</v>
      </c>
      <c r="G11" s="2" t="s">
        <v>1448</v>
      </c>
      <c r="H11" s="2" t="s">
        <v>1241</v>
      </c>
      <c r="I11" s="2" t="s">
        <v>1189</v>
      </c>
      <c r="J11" s="2"/>
    </row>
    <row r="12" spans="1:10" ht="27.6">
      <c r="A12" s="2" t="s">
        <v>1457</v>
      </c>
      <c r="B12" s="2" t="s">
        <v>1458</v>
      </c>
      <c r="C12" s="2" t="s">
        <v>103</v>
      </c>
      <c r="D12" s="2">
        <v>31000</v>
      </c>
      <c r="E12" s="2" t="s">
        <v>1238</v>
      </c>
      <c r="F12" s="2" t="s">
        <v>1452</v>
      </c>
      <c r="G12" s="2" t="s">
        <v>1448</v>
      </c>
      <c r="H12" s="2" t="s">
        <v>1241</v>
      </c>
      <c r="I12" s="2" t="s">
        <v>1189</v>
      </c>
      <c r="J12" s="2"/>
    </row>
    <row r="13" spans="1:10" ht="27.6">
      <c r="A13" s="2" t="s">
        <v>1459</v>
      </c>
      <c r="B13" s="2" t="s">
        <v>1460</v>
      </c>
      <c r="C13" s="2" t="s">
        <v>753</v>
      </c>
      <c r="D13" s="2">
        <v>450000</v>
      </c>
      <c r="E13" s="2" t="s">
        <v>1448</v>
      </c>
      <c r="F13" s="2" t="s">
        <v>1461</v>
      </c>
      <c r="G13" s="2" t="s">
        <v>1462</v>
      </c>
      <c r="H13" s="2" t="s">
        <v>1212</v>
      </c>
      <c r="I13" s="2" t="s">
        <v>1189</v>
      </c>
      <c r="J13" s="2" t="s">
        <v>1463</v>
      </c>
    </row>
    <row r="14" spans="1:10" ht="27.6">
      <c r="A14" s="2" t="s">
        <v>1464</v>
      </c>
      <c r="B14" s="2" t="s">
        <v>1465</v>
      </c>
      <c r="C14" s="2" t="s">
        <v>753</v>
      </c>
      <c r="D14" s="2">
        <v>380000</v>
      </c>
      <c r="E14" s="2" t="s">
        <v>1448</v>
      </c>
      <c r="F14" s="2" t="s">
        <v>1466</v>
      </c>
      <c r="G14" s="2" t="s">
        <v>1467</v>
      </c>
      <c r="H14" s="2" t="s">
        <v>1212</v>
      </c>
      <c r="I14" s="2" t="s">
        <v>1189</v>
      </c>
      <c r="J14" s="2"/>
    </row>
    <row r="15" spans="1:10" ht="27.6">
      <c r="A15" s="2" t="s">
        <v>1468</v>
      </c>
      <c r="B15" s="2" t="s">
        <v>1469</v>
      </c>
      <c r="C15" s="2" t="s">
        <v>753</v>
      </c>
      <c r="D15" s="2">
        <v>650000</v>
      </c>
      <c r="E15" s="2" t="s">
        <v>1448</v>
      </c>
      <c r="F15" s="2" t="s">
        <v>1470</v>
      </c>
      <c r="G15" s="2" t="s">
        <v>1471</v>
      </c>
      <c r="H15" s="2" t="s">
        <v>1212</v>
      </c>
      <c r="I15" s="2" t="s">
        <v>1189</v>
      </c>
      <c r="J15" s="2"/>
    </row>
    <row r="16" spans="1:10" ht="27.6">
      <c r="A16" s="2" t="s">
        <v>1472</v>
      </c>
      <c r="B16" s="2" t="s">
        <v>1473</v>
      </c>
      <c r="C16" s="2" t="s">
        <v>753</v>
      </c>
      <c r="D16" s="2">
        <v>55000</v>
      </c>
      <c r="E16" s="2" t="s">
        <v>1448</v>
      </c>
      <c r="F16" s="2" t="s">
        <v>1474</v>
      </c>
      <c r="G16" s="2" t="s">
        <v>1475</v>
      </c>
      <c r="H16" s="2" t="s">
        <v>1212</v>
      </c>
      <c r="I16" s="2" t="s">
        <v>1189</v>
      </c>
      <c r="J16" s="2" t="s">
        <v>1476</v>
      </c>
    </row>
    <row r="17" spans="1:10" ht="27.6">
      <c r="A17" s="2" t="s">
        <v>1477</v>
      </c>
      <c r="B17" s="2" t="s">
        <v>1478</v>
      </c>
      <c r="C17" s="2" t="s">
        <v>286</v>
      </c>
      <c r="D17" s="2">
        <v>125000</v>
      </c>
      <c r="E17" s="2" t="s">
        <v>1088</v>
      </c>
      <c r="F17" s="2" t="s">
        <v>1479</v>
      </c>
      <c r="G17" s="2" t="s">
        <v>1480</v>
      </c>
      <c r="H17" s="2" t="s">
        <v>1241</v>
      </c>
      <c r="I17" s="2" t="s">
        <v>1189</v>
      </c>
      <c r="J17" s="2" t="s">
        <v>1481</v>
      </c>
    </row>
    <row r="18" spans="1:10">
      <c r="A18" s="2"/>
      <c r="B18" s="2"/>
      <c r="C18" s="2"/>
      <c r="D18" s="2"/>
      <c r="E18" s="2"/>
      <c r="F18" s="2"/>
      <c r="G18" s="2"/>
      <c r="H18" s="2"/>
      <c r="I18" s="2"/>
      <c r="J18" s="2"/>
    </row>
    <row r="19" spans="1:10">
      <c r="A19" s="2"/>
      <c r="B19" s="2"/>
      <c r="C19" s="2"/>
      <c r="D19" s="2"/>
      <c r="E19" s="2"/>
      <c r="F19" s="2"/>
      <c r="G19" s="2"/>
      <c r="H19" s="2"/>
      <c r="I19" s="2"/>
      <c r="J19" s="2"/>
    </row>
    <row r="20" spans="1:10" ht="69">
      <c r="A20" s="2" t="s">
        <v>1482</v>
      </c>
      <c r="B20" s="2"/>
      <c r="C20" s="2"/>
      <c r="D20" s="2"/>
      <c r="E20" s="2"/>
      <c r="F20" s="2"/>
      <c r="G20" s="2"/>
      <c r="H20" s="2"/>
      <c r="I20" s="2"/>
      <c r="J20" s="2"/>
    </row>
    <row r="21" spans="1:10" ht="55.2">
      <c r="A21" s="2" t="s">
        <v>488</v>
      </c>
      <c r="B21" s="2" t="s">
        <v>1483</v>
      </c>
      <c r="C21" s="2"/>
      <c r="D21" s="2"/>
      <c r="E21" s="2"/>
      <c r="F21" s="2"/>
      <c r="G21" s="2"/>
      <c r="H21" s="2"/>
      <c r="I21" s="2"/>
      <c r="J21" s="2"/>
    </row>
    <row r="22" spans="1:10" ht="69">
      <c r="A22" s="2" t="s">
        <v>490</v>
      </c>
      <c r="B22" s="2" t="s">
        <v>1484</v>
      </c>
      <c r="C22" s="2"/>
      <c r="D22" s="2"/>
      <c r="E22" s="2"/>
      <c r="F22" s="2"/>
      <c r="G22" s="2"/>
      <c r="H22" s="2"/>
      <c r="I22" s="2"/>
      <c r="J22" s="2"/>
    </row>
    <row r="23" spans="1:10" ht="82.8">
      <c r="A23" s="2" t="s">
        <v>492</v>
      </c>
      <c r="B23" s="2" t="s">
        <v>1485</v>
      </c>
      <c r="C23" s="2"/>
      <c r="D23" s="2"/>
      <c r="E23" s="2"/>
      <c r="F23" s="2"/>
      <c r="G23" s="2"/>
      <c r="H23" s="2"/>
      <c r="I23" s="2"/>
      <c r="J23" s="2"/>
    </row>
    <row r="24" spans="1:10" ht="69">
      <c r="A24" s="2" t="s">
        <v>494</v>
      </c>
      <c r="B24" s="2" t="s">
        <v>1486</v>
      </c>
      <c r="C24" s="2"/>
      <c r="D24" s="2"/>
      <c r="E24" s="2"/>
      <c r="F24" s="2"/>
      <c r="G24" s="2"/>
      <c r="H24" s="2"/>
      <c r="I24" s="2"/>
      <c r="J24" s="2"/>
    </row>
    <row r="25" spans="1:10" ht="69">
      <c r="A25" s="2" t="s">
        <v>496</v>
      </c>
      <c r="B25" s="2" t="s">
        <v>1487</v>
      </c>
      <c r="C25" s="2"/>
      <c r="D25" s="2"/>
      <c r="E25" s="2"/>
      <c r="F25" s="2"/>
      <c r="G25" s="2"/>
      <c r="H25" s="2"/>
      <c r="I25" s="2"/>
      <c r="J25" s="2"/>
    </row>
    <row r="26" spans="1:10" ht="82.8">
      <c r="A26" s="2" t="s">
        <v>498</v>
      </c>
      <c r="B26" s="2" t="s">
        <v>1488</v>
      </c>
      <c r="C26" s="2"/>
      <c r="D26" s="2"/>
      <c r="E26" s="2"/>
      <c r="F26" s="2"/>
      <c r="G26" s="2"/>
      <c r="H26" s="2"/>
      <c r="I26" s="2"/>
      <c r="J26" s="2"/>
    </row>
    <row r="27" spans="1:10" ht="55.2">
      <c r="A27" s="2" t="s">
        <v>1489</v>
      </c>
      <c r="B27" s="2" t="s">
        <v>1490</v>
      </c>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sheetData>
  <mergeCells count="1">
    <mergeCell ref="A1:J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2"/>
  <sheetViews>
    <sheetView workbookViewId="0">
      <selection activeCell="A33" sqref="A33:XFD37"/>
    </sheetView>
  </sheetViews>
  <sheetFormatPr defaultColWidth="8.69921875" defaultRowHeight="13.8"/>
  <cols>
    <col min="1" max="1" width="9" style="8" customWidth="1"/>
    <col min="2" max="2" width="28" style="8" customWidth="1"/>
    <col min="3" max="3" width="62" style="8" customWidth="1"/>
    <col min="4" max="4" width="8" style="8" customWidth="1"/>
    <col min="5" max="5" width="9" style="8" customWidth="1"/>
    <col min="6" max="6" width="14" style="8" customWidth="1"/>
    <col min="7" max="7" width="16" style="8" customWidth="1"/>
    <col min="8" max="8" width="31" style="8" customWidth="1"/>
    <col min="9" max="9" width="30" style="8" customWidth="1"/>
    <col min="10" max="10" width="31" style="8" customWidth="1"/>
    <col min="11" max="11" width="16" style="8" customWidth="1"/>
    <col min="12" max="12" width="34" style="8" customWidth="1"/>
    <col min="13" max="16384" width="8.69921875" style="8"/>
  </cols>
  <sheetData>
    <row r="1" spans="1:12" ht="17.399999999999999">
      <c r="A1" s="114" t="s">
        <v>1491</v>
      </c>
      <c r="B1" s="114"/>
      <c r="C1" s="114"/>
      <c r="D1" s="114"/>
      <c r="E1" s="114"/>
      <c r="F1" s="114"/>
      <c r="G1" s="114"/>
      <c r="H1" s="114"/>
      <c r="I1" s="114"/>
      <c r="J1" s="114"/>
      <c r="K1" s="114"/>
      <c r="L1" s="114"/>
    </row>
    <row r="2" spans="1:12" ht="14.4">
      <c r="A2" s="115" t="s">
        <v>1492</v>
      </c>
      <c r="B2" s="115"/>
      <c r="C2" s="115"/>
      <c r="D2" s="115"/>
      <c r="E2" s="115"/>
      <c r="F2" s="115"/>
      <c r="G2" s="115"/>
      <c r="H2" s="115"/>
      <c r="I2" s="115"/>
      <c r="J2" s="115"/>
      <c r="K2" s="115"/>
      <c r="L2" s="115"/>
    </row>
    <row r="4" spans="1:12">
      <c r="A4" s="48" t="s">
        <v>619</v>
      </c>
      <c r="B4" s="48" t="s">
        <v>5</v>
      </c>
      <c r="C4" s="48" t="s">
        <v>1020</v>
      </c>
      <c r="D4" s="48" t="s">
        <v>8</v>
      </c>
      <c r="E4" s="48" t="s">
        <v>9</v>
      </c>
      <c r="F4" s="48" t="s">
        <v>10</v>
      </c>
      <c r="G4" s="48" t="s">
        <v>11</v>
      </c>
      <c r="H4" s="48" t="s">
        <v>1021</v>
      </c>
      <c r="I4" s="48" t="s">
        <v>371</v>
      </c>
      <c r="J4" s="48" t="s">
        <v>1022</v>
      </c>
      <c r="K4" s="48" t="s">
        <v>4</v>
      </c>
      <c r="L4" s="48" t="s">
        <v>623</v>
      </c>
    </row>
    <row r="5" spans="1:12" ht="69">
      <c r="A5" s="6" t="s">
        <v>18</v>
      </c>
      <c r="B5" s="49" t="s">
        <v>1493</v>
      </c>
      <c r="C5" s="6" t="s">
        <v>1494</v>
      </c>
      <c r="D5" s="6" t="s">
        <v>20</v>
      </c>
      <c r="E5" s="41">
        <v>1</v>
      </c>
      <c r="F5" s="42">
        <v>500000</v>
      </c>
      <c r="G5" s="42">
        <f t="shared" ref="G5:G29" si="0">E5*F5</f>
        <v>500000</v>
      </c>
      <c r="H5" s="6" t="s">
        <v>1039</v>
      </c>
      <c r="I5" s="6" t="s">
        <v>1495</v>
      </c>
      <c r="J5" s="6" t="s">
        <v>1275</v>
      </c>
      <c r="K5" s="6" t="s">
        <v>657</v>
      </c>
      <c r="L5" s="6" t="s">
        <v>1496</v>
      </c>
    </row>
    <row r="6" spans="1:12" ht="41.4">
      <c r="A6" s="6" t="s">
        <v>25</v>
      </c>
      <c r="B6" s="49" t="s">
        <v>1493</v>
      </c>
      <c r="C6" s="6" t="s">
        <v>1497</v>
      </c>
      <c r="D6" s="6" t="s">
        <v>20</v>
      </c>
      <c r="E6" s="41">
        <v>1</v>
      </c>
      <c r="F6" s="42">
        <v>400000</v>
      </c>
      <c r="G6" s="42">
        <f t="shared" si="0"/>
        <v>400000</v>
      </c>
      <c r="H6" s="6" t="s">
        <v>1498</v>
      </c>
      <c r="I6" s="6" t="s">
        <v>1499</v>
      </c>
      <c r="J6" s="6" t="s">
        <v>1500</v>
      </c>
      <c r="K6" s="6" t="s">
        <v>657</v>
      </c>
      <c r="L6" s="6" t="s">
        <v>1501</v>
      </c>
    </row>
    <row r="7" spans="1:12" ht="96.6">
      <c r="A7" s="6" t="s">
        <v>63</v>
      </c>
      <c r="B7" s="49" t="s">
        <v>1502</v>
      </c>
      <c r="C7" s="6" t="s">
        <v>1503</v>
      </c>
      <c r="D7" s="6" t="s">
        <v>286</v>
      </c>
      <c r="E7" s="41">
        <v>1</v>
      </c>
      <c r="F7" s="42">
        <v>1800000</v>
      </c>
      <c r="G7" s="42">
        <f t="shared" si="0"/>
        <v>1800000</v>
      </c>
      <c r="H7" s="6" t="s">
        <v>1319</v>
      </c>
      <c r="I7" s="6" t="s">
        <v>1504</v>
      </c>
      <c r="J7" s="6" t="s">
        <v>1505</v>
      </c>
      <c r="K7" s="6" t="s">
        <v>1286</v>
      </c>
      <c r="L7" s="6" t="s">
        <v>1506</v>
      </c>
    </row>
    <row r="8" spans="1:12" ht="55.2">
      <c r="A8" s="6" t="s">
        <v>69</v>
      </c>
      <c r="B8" s="49" t="s">
        <v>1502</v>
      </c>
      <c r="C8" s="6" t="s">
        <v>1507</v>
      </c>
      <c r="D8" s="6" t="s">
        <v>753</v>
      </c>
      <c r="E8" s="41">
        <v>1</v>
      </c>
      <c r="F8" s="42">
        <v>250000</v>
      </c>
      <c r="G8" s="42">
        <f t="shared" si="0"/>
        <v>250000</v>
      </c>
      <c r="H8" s="6" t="s">
        <v>1050</v>
      </c>
      <c r="I8" s="6" t="s">
        <v>1508</v>
      </c>
      <c r="J8" s="6" t="s">
        <v>1509</v>
      </c>
      <c r="K8" s="6" t="s">
        <v>657</v>
      </c>
      <c r="L8" s="6" t="s">
        <v>1510</v>
      </c>
    </row>
    <row r="9" spans="1:12" ht="41.4">
      <c r="A9" s="6" t="s">
        <v>129</v>
      </c>
      <c r="B9" s="49" t="s">
        <v>1511</v>
      </c>
      <c r="C9" s="6" t="s">
        <v>1512</v>
      </c>
      <c r="D9" s="6" t="s">
        <v>103</v>
      </c>
      <c r="E9" s="41">
        <v>180</v>
      </c>
      <c r="F9" s="42">
        <v>850</v>
      </c>
      <c r="G9" s="42">
        <f t="shared" si="0"/>
        <v>153000</v>
      </c>
      <c r="H9" s="6" t="s">
        <v>1513</v>
      </c>
      <c r="I9" s="6" t="s">
        <v>1514</v>
      </c>
      <c r="J9" s="6" t="s">
        <v>1515</v>
      </c>
      <c r="K9" s="6" t="s">
        <v>1069</v>
      </c>
      <c r="L9" s="6" t="s">
        <v>1516</v>
      </c>
    </row>
    <row r="10" spans="1:12" ht="27.6">
      <c r="A10" s="6" t="s">
        <v>134</v>
      </c>
      <c r="B10" s="49" t="s">
        <v>1511</v>
      </c>
      <c r="C10" s="6" t="s">
        <v>1517</v>
      </c>
      <c r="D10" s="6" t="s">
        <v>103</v>
      </c>
      <c r="E10" s="41">
        <v>120</v>
      </c>
      <c r="F10" s="42">
        <v>1200</v>
      </c>
      <c r="G10" s="42">
        <f t="shared" si="0"/>
        <v>144000</v>
      </c>
      <c r="H10" s="6" t="s">
        <v>1518</v>
      </c>
      <c r="I10" s="6" t="s">
        <v>1514</v>
      </c>
      <c r="J10" s="6" t="s">
        <v>1515</v>
      </c>
      <c r="K10" s="6" t="s">
        <v>1069</v>
      </c>
      <c r="L10" s="6" t="s">
        <v>1519</v>
      </c>
    </row>
    <row r="11" spans="1:12" ht="41.4">
      <c r="A11" s="6" t="s">
        <v>139</v>
      </c>
      <c r="B11" s="49" t="s">
        <v>1511</v>
      </c>
      <c r="C11" s="6" t="s">
        <v>1520</v>
      </c>
      <c r="D11" s="6" t="s">
        <v>103</v>
      </c>
      <c r="E11" s="41">
        <v>80</v>
      </c>
      <c r="F11" s="42">
        <v>1300</v>
      </c>
      <c r="G11" s="42">
        <f t="shared" si="0"/>
        <v>104000</v>
      </c>
      <c r="H11" s="6" t="s">
        <v>1521</v>
      </c>
      <c r="I11" s="6" t="s">
        <v>1514</v>
      </c>
      <c r="J11" s="6" t="s">
        <v>1515</v>
      </c>
      <c r="K11" s="6" t="s">
        <v>1069</v>
      </c>
      <c r="L11" s="6" t="s">
        <v>1522</v>
      </c>
    </row>
    <row r="12" spans="1:12" ht="41.4">
      <c r="A12" s="6" t="s">
        <v>141</v>
      </c>
      <c r="B12" s="49" t="s">
        <v>1511</v>
      </c>
      <c r="C12" s="6" t="s">
        <v>1523</v>
      </c>
      <c r="D12" s="6" t="s">
        <v>103</v>
      </c>
      <c r="E12" s="41">
        <v>50</v>
      </c>
      <c r="F12" s="42">
        <v>1500</v>
      </c>
      <c r="G12" s="42">
        <f t="shared" si="0"/>
        <v>75000</v>
      </c>
      <c r="H12" s="6" t="s">
        <v>1524</v>
      </c>
      <c r="I12" s="6" t="s">
        <v>1514</v>
      </c>
      <c r="J12" s="6" t="s">
        <v>1515</v>
      </c>
      <c r="K12" s="6" t="s">
        <v>1069</v>
      </c>
      <c r="L12" s="6" t="s">
        <v>1525</v>
      </c>
    </row>
    <row r="13" spans="1:12" ht="27.6">
      <c r="A13" s="6" t="s">
        <v>147</v>
      </c>
      <c r="B13" s="49" t="s">
        <v>1511</v>
      </c>
      <c r="C13" s="6" t="s">
        <v>1526</v>
      </c>
      <c r="D13" s="6" t="s">
        <v>103</v>
      </c>
      <c r="E13" s="41">
        <v>30</v>
      </c>
      <c r="F13" s="42">
        <v>1800</v>
      </c>
      <c r="G13" s="42">
        <f t="shared" si="0"/>
        <v>54000</v>
      </c>
      <c r="H13" s="6" t="s">
        <v>1527</v>
      </c>
      <c r="I13" s="6" t="s">
        <v>1514</v>
      </c>
      <c r="J13" s="6" t="s">
        <v>1515</v>
      </c>
      <c r="K13" s="6" t="s">
        <v>1069</v>
      </c>
      <c r="L13" s="6" t="s">
        <v>1528</v>
      </c>
    </row>
    <row r="14" spans="1:12" ht="27.6">
      <c r="A14" s="6" t="s">
        <v>156</v>
      </c>
      <c r="B14" s="49" t="s">
        <v>1511</v>
      </c>
      <c r="C14" s="6" t="s">
        <v>1529</v>
      </c>
      <c r="D14" s="6" t="s">
        <v>103</v>
      </c>
      <c r="E14" s="41">
        <v>20</v>
      </c>
      <c r="F14" s="42">
        <v>2300</v>
      </c>
      <c r="G14" s="42">
        <f t="shared" si="0"/>
        <v>46000</v>
      </c>
      <c r="H14" s="6" t="s">
        <v>1530</v>
      </c>
      <c r="I14" s="6" t="s">
        <v>1514</v>
      </c>
      <c r="J14" s="6" t="s">
        <v>1515</v>
      </c>
      <c r="K14" s="6" t="s">
        <v>1069</v>
      </c>
      <c r="L14" s="6" t="s">
        <v>1531</v>
      </c>
    </row>
    <row r="15" spans="1:12" ht="27.6">
      <c r="A15" s="6" t="s">
        <v>160</v>
      </c>
      <c r="B15" s="49" t="s">
        <v>1511</v>
      </c>
      <c r="C15" s="6" t="s">
        <v>1532</v>
      </c>
      <c r="D15" s="6" t="s">
        <v>753</v>
      </c>
      <c r="E15" s="41">
        <v>20</v>
      </c>
      <c r="F15" s="42">
        <v>8000</v>
      </c>
      <c r="G15" s="42">
        <f t="shared" si="0"/>
        <v>160000</v>
      </c>
      <c r="H15" s="6" t="s">
        <v>1533</v>
      </c>
      <c r="I15" s="6" t="s">
        <v>65</v>
      </c>
      <c r="J15" s="6" t="s">
        <v>1534</v>
      </c>
      <c r="K15" s="6" t="s">
        <v>1069</v>
      </c>
      <c r="L15" s="6" t="s">
        <v>1535</v>
      </c>
    </row>
    <row r="16" spans="1:12" ht="27.6">
      <c r="A16" s="6" t="s">
        <v>165</v>
      </c>
      <c r="B16" s="49" t="s">
        <v>1511</v>
      </c>
      <c r="C16" s="6" t="s">
        <v>1536</v>
      </c>
      <c r="D16" s="6" t="s">
        <v>753</v>
      </c>
      <c r="E16" s="41">
        <v>12</v>
      </c>
      <c r="F16" s="42">
        <v>25000</v>
      </c>
      <c r="G16" s="42">
        <f t="shared" si="0"/>
        <v>300000</v>
      </c>
      <c r="H16" s="6" t="s">
        <v>1050</v>
      </c>
      <c r="I16" s="6" t="s">
        <v>1537</v>
      </c>
      <c r="J16" s="6" t="s">
        <v>1275</v>
      </c>
      <c r="K16" s="6" t="s">
        <v>1069</v>
      </c>
      <c r="L16" s="6" t="s">
        <v>1538</v>
      </c>
    </row>
    <row r="17" spans="1:12" ht="27.6">
      <c r="A17" s="6" t="s">
        <v>170</v>
      </c>
      <c r="B17" s="49" t="s">
        <v>1511</v>
      </c>
      <c r="C17" s="6" t="s">
        <v>1539</v>
      </c>
      <c r="D17" s="6" t="s">
        <v>753</v>
      </c>
      <c r="E17" s="41">
        <v>6</v>
      </c>
      <c r="F17" s="42">
        <v>35000</v>
      </c>
      <c r="G17" s="42">
        <f t="shared" si="0"/>
        <v>210000</v>
      </c>
      <c r="H17" s="6" t="s">
        <v>1050</v>
      </c>
      <c r="I17" s="6" t="s">
        <v>1540</v>
      </c>
      <c r="J17" s="6" t="s">
        <v>1275</v>
      </c>
      <c r="K17" s="6" t="s">
        <v>1069</v>
      </c>
      <c r="L17" s="6" t="s">
        <v>1541</v>
      </c>
    </row>
    <row r="18" spans="1:12" ht="41.4">
      <c r="A18" s="6" t="s">
        <v>175</v>
      </c>
      <c r="B18" s="49" t="s">
        <v>1511</v>
      </c>
      <c r="C18" s="6" t="s">
        <v>1542</v>
      </c>
      <c r="D18" s="6" t="s">
        <v>753</v>
      </c>
      <c r="E18" s="41">
        <v>4</v>
      </c>
      <c r="F18" s="42">
        <v>5390</v>
      </c>
      <c r="G18" s="42">
        <f t="shared" si="0"/>
        <v>21560</v>
      </c>
      <c r="H18" s="6" t="s">
        <v>1543</v>
      </c>
      <c r="I18" s="6" t="s">
        <v>1544</v>
      </c>
      <c r="J18" s="6" t="s">
        <v>1545</v>
      </c>
      <c r="K18" s="6" t="s">
        <v>1069</v>
      </c>
      <c r="L18" s="6" t="s">
        <v>1546</v>
      </c>
    </row>
    <row r="19" spans="1:12" ht="55.2">
      <c r="A19" s="6" t="s">
        <v>183</v>
      </c>
      <c r="B19" s="49" t="s">
        <v>1547</v>
      </c>
      <c r="C19" s="6" t="s">
        <v>1548</v>
      </c>
      <c r="D19" s="6" t="s">
        <v>753</v>
      </c>
      <c r="E19" s="41">
        <v>3</v>
      </c>
      <c r="F19" s="42">
        <v>160000</v>
      </c>
      <c r="G19" s="42">
        <f t="shared" si="0"/>
        <v>480000</v>
      </c>
      <c r="H19" s="6" t="s">
        <v>1549</v>
      </c>
      <c r="I19" s="6" t="s">
        <v>1550</v>
      </c>
      <c r="J19" s="6" t="s">
        <v>1551</v>
      </c>
      <c r="K19" s="6" t="s">
        <v>657</v>
      </c>
      <c r="L19" s="6" t="s">
        <v>1552</v>
      </c>
    </row>
    <row r="20" spans="1:12" ht="41.4">
      <c r="A20" s="6" t="s">
        <v>188</v>
      </c>
      <c r="B20" s="49" t="s">
        <v>1547</v>
      </c>
      <c r="C20" s="6" t="s">
        <v>1553</v>
      </c>
      <c r="D20" s="6" t="s">
        <v>103</v>
      </c>
      <c r="E20" s="41">
        <v>100</v>
      </c>
      <c r="F20" s="42">
        <v>2800</v>
      </c>
      <c r="G20" s="42">
        <f t="shared" si="0"/>
        <v>280000</v>
      </c>
      <c r="H20" s="6" t="s">
        <v>1554</v>
      </c>
      <c r="I20" s="6" t="s">
        <v>1555</v>
      </c>
      <c r="J20" s="6" t="s">
        <v>1275</v>
      </c>
      <c r="K20" s="6" t="s">
        <v>1069</v>
      </c>
      <c r="L20" s="6" t="s">
        <v>1556</v>
      </c>
    </row>
    <row r="21" spans="1:12" ht="27.6">
      <c r="A21" s="6" t="s">
        <v>193</v>
      </c>
      <c r="B21" s="49" t="s">
        <v>1547</v>
      </c>
      <c r="C21" s="6" t="s">
        <v>1557</v>
      </c>
      <c r="D21" s="6" t="s">
        <v>103</v>
      </c>
      <c r="E21" s="41">
        <v>40</v>
      </c>
      <c r="F21" s="42">
        <v>3600</v>
      </c>
      <c r="G21" s="42">
        <f t="shared" si="0"/>
        <v>144000</v>
      </c>
      <c r="H21" s="6" t="s">
        <v>1554</v>
      </c>
      <c r="I21" s="6" t="s">
        <v>1555</v>
      </c>
      <c r="J21" s="6" t="s">
        <v>1275</v>
      </c>
      <c r="K21" s="6" t="s">
        <v>1069</v>
      </c>
      <c r="L21" s="6" t="s">
        <v>1556</v>
      </c>
    </row>
    <row r="22" spans="1:12" ht="27.6">
      <c r="A22" s="6" t="s">
        <v>198</v>
      </c>
      <c r="B22" s="49" t="s">
        <v>1547</v>
      </c>
      <c r="C22" s="6" t="s">
        <v>1558</v>
      </c>
      <c r="D22" s="6" t="s">
        <v>753</v>
      </c>
      <c r="E22" s="41">
        <v>3</v>
      </c>
      <c r="F22" s="42">
        <v>75000</v>
      </c>
      <c r="G22" s="42">
        <f t="shared" si="0"/>
        <v>225000</v>
      </c>
      <c r="H22" s="6" t="s">
        <v>1273</v>
      </c>
      <c r="I22" s="6" t="s">
        <v>1559</v>
      </c>
      <c r="J22" s="6" t="s">
        <v>1560</v>
      </c>
      <c r="K22" s="6" t="s">
        <v>657</v>
      </c>
      <c r="L22" s="6" t="s">
        <v>1561</v>
      </c>
    </row>
    <row r="23" spans="1:12" ht="27.6">
      <c r="A23" s="6" t="s">
        <v>203</v>
      </c>
      <c r="B23" s="49" t="s">
        <v>1547</v>
      </c>
      <c r="C23" s="6" t="s">
        <v>1562</v>
      </c>
      <c r="D23" s="6" t="s">
        <v>753</v>
      </c>
      <c r="E23" s="41">
        <v>6</v>
      </c>
      <c r="F23" s="42">
        <v>12000</v>
      </c>
      <c r="G23" s="42">
        <f t="shared" si="0"/>
        <v>72000</v>
      </c>
      <c r="H23" s="6" t="s">
        <v>1039</v>
      </c>
      <c r="I23" s="6" t="s">
        <v>1563</v>
      </c>
      <c r="J23" s="6" t="s">
        <v>1275</v>
      </c>
      <c r="K23" s="6" t="s">
        <v>1069</v>
      </c>
      <c r="L23" s="6" t="s">
        <v>1564</v>
      </c>
    </row>
    <row r="24" spans="1:12" ht="55.2">
      <c r="A24" s="6" t="s">
        <v>215</v>
      </c>
      <c r="B24" s="49" t="s">
        <v>1565</v>
      </c>
      <c r="C24" s="6" t="s">
        <v>1566</v>
      </c>
      <c r="D24" s="6" t="s">
        <v>753</v>
      </c>
      <c r="E24" s="41">
        <v>3</v>
      </c>
      <c r="F24" s="42">
        <v>50000</v>
      </c>
      <c r="G24" s="42">
        <f t="shared" si="0"/>
        <v>150000</v>
      </c>
      <c r="H24" s="6" t="s">
        <v>1088</v>
      </c>
      <c r="I24" s="6" t="s">
        <v>1567</v>
      </c>
      <c r="J24" s="6" t="s">
        <v>1568</v>
      </c>
      <c r="K24" s="6" t="s">
        <v>657</v>
      </c>
      <c r="L24" s="6" t="s">
        <v>1569</v>
      </c>
    </row>
    <row r="25" spans="1:12" ht="41.4">
      <c r="A25" s="6" t="s">
        <v>221</v>
      </c>
      <c r="B25" s="49" t="s">
        <v>1565</v>
      </c>
      <c r="C25" s="6" t="s">
        <v>1570</v>
      </c>
      <c r="D25" s="6" t="s">
        <v>753</v>
      </c>
      <c r="E25" s="41">
        <v>2</v>
      </c>
      <c r="F25" s="42">
        <v>35000</v>
      </c>
      <c r="G25" s="42">
        <f t="shared" si="0"/>
        <v>70000</v>
      </c>
      <c r="H25" s="6" t="s">
        <v>1088</v>
      </c>
      <c r="I25" s="6" t="s">
        <v>1571</v>
      </c>
      <c r="J25" s="6" t="s">
        <v>1572</v>
      </c>
      <c r="K25" s="6" t="s">
        <v>657</v>
      </c>
      <c r="L25" s="6" t="s">
        <v>1573</v>
      </c>
    </row>
    <row r="26" spans="1:12" ht="55.2">
      <c r="A26" s="6" t="s">
        <v>227</v>
      </c>
      <c r="B26" s="49" t="s">
        <v>1565</v>
      </c>
      <c r="C26" s="6" t="s">
        <v>1574</v>
      </c>
      <c r="D26" s="6" t="s">
        <v>20</v>
      </c>
      <c r="E26" s="41">
        <v>1</v>
      </c>
      <c r="F26" s="42">
        <v>400000</v>
      </c>
      <c r="G26" s="42">
        <f t="shared" si="0"/>
        <v>400000</v>
      </c>
      <c r="H26" s="6" t="s">
        <v>1039</v>
      </c>
      <c r="I26" s="6" t="s">
        <v>1575</v>
      </c>
      <c r="J26" s="6" t="s">
        <v>1576</v>
      </c>
      <c r="K26" s="6" t="s">
        <v>657</v>
      </c>
      <c r="L26" s="6" t="s">
        <v>1577</v>
      </c>
    </row>
    <row r="27" spans="1:12" ht="41.4">
      <c r="A27" s="6" t="s">
        <v>231</v>
      </c>
      <c r="B27" s="49" t="s">
        <v>1565</v>
      </c>
      <c r="C27" s="6" t="s">
        <v>1578</v>
      </c>
      <c r="D27" s="6" t="s">
        <v>20</v>
      </c>
      <c r="E27" s="41">
        <v>1</v>
      </c>
      <c r="F27" s="42">
        <v>250000</v>
      </c>
      <c r="G27" s="42">
        <f t="shared" si="0"/>
        <v>250000</v>
      </c>
      <c r="H27" s="6" t="s">
        <v>1579</v>
      </c>
      <c r="I27" s="6" t="s">
        <v>1580</v>
      </c>
      <c r="J27" s="6" t="s">
        <v>1581</v>
      </c>
      <c r="K27" s="6" t="s">
        <v>657</v>
      </c>
      <c r="L27" s="6" t="s">
        <v>1582</v>
      </c>
    </row>
    <row r="28" spans="1:12" ht="55.2">
      <c r="A28" s="6" t="s">
        <v>271</v>
      </c>
      <c r="B28" s="49" t="s">
        <v>1341</v>
      </c>
      <c r="C28" s="6" t="s">
        <v>1583</v>
      </c>
      <c r="D28" s="6" t="s">
        <v>20</v>
      </c>
      <c r="E28" s="41">
        <v>1</v>
      </c>
      <c r="F28" s="42">
        <v>500000</v>
      </c>
      <c r="G28" s="42">
        <f t="shared" si="0"/>
        <v>500000</v>
      </c>
      <c r="H28" s="6" t="s">
        <v>1584</v>
      </c>
      <c r="I28" s="6" t="s">
        <v>1585</v>
      </c>
      <c r="J28" s="6" t="s">
        <v>1275</v>
      </c>
      <c r="K28" s="6" t="s">
        <v>657</v>
      </c>
      <c r="L28" s="6" t="s">
        <v>1586</v>
      </c>
    </row>
    <row r="29" spans="1:12" ht="41.4">
      <c r="A29" s="6" t="s">
        <v>276</v>
      </c>
      <c r="B29" s="49" t="s">
        <v>1341</v>
      </c>
      <c r="C29" s="6" t="s">
        <v>1587</v>
      </c>
      <c r="D29" s="6" t="s">
        <v>20</v>
      </c>
      <c r="E29" s="41">
        <v>1</v>
      </c>
      <c r="F29" s="42">
        <v>250000</v>
      </c>
      <c r="G29" s="42">
        <f t="shared" si="0"/>
        <v>250000</v>
      </c>
      <c r="H29" s="6" t="s">
        <v>1588</v>
      </c>
      <c r="I29" s="6" t="s">
        <v>1589</v>
      </c>
      <c r="J29" s="6" t="s">
        <v>1275</v>
      </c>
      <c r="K29" s="6" t="s">
        <v>657</v>
      </c>
      <c r="L29" s="6" t="s">
        <v>1590</v>
      </c>
    </row>
    <row r="30" spans="1:12">
      <c r="A30" s="6"/>
      <c r="B30" s="6"/>
      <c r="C30" s="6"/>
      <c r="D30" s="6"/>
      <c r="E30" s="6"/>
      <c r="F30" s="6"/>
      <c r="G30" s="6"/>
      <c r="H30" s="6"/>
      <c r="I30" s="6"/>
      <c r="J30" s="6"/>
      <c r="K30" s="6"/>
      <c r="L30" s="6"/>
    </row>
    <row r="31" spans="1:12">
      <c r="A31" s="6"/>
      <c r="B31" s="6"/>
      <c r="C31" s="6"/>
      <c r="D31" s="6"/>
      <c r="E31" s="6"/>
      <c r="F31" s="6"/>
      <c r="G31" s="6"/>
      <c r="H31" s="6"/>
      <c r="I31" s="6"/>
      <c r="J31" s="6"/>
      <c r="K31" s="6"/>
      <c r="L31" s="6"/>
    </row>
    <row r="32" spans="1:12">
      <c r="A32" s="6"/>
      <c r="B32" s="6"/>
      <c r="C32" s="6"/>
      <c r="D32" s="6"/>
      <c r="E32" s="6"/>
      <c r="F32" s="9" t="s">
        <v>1115</v>
      </c>
      <c r="G32" s="43">
        <f>SUM(G5:G29)</f>
        <v>7038560</v>
      </c>
      <c r="H32" s="6"/>
      <c r="I32" s="6"/>
      <c r="J32" s="6"/>
      <c r="K32" s="6"/>
      <c r="L32" s="6"/>
    </row>
  </sheetData>
  <mergeCells count="2">
    <mergeCell ref="A1:L1"/>
    <mergeCell ref="A2:L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0"/>
  <sheetViews>
    <sheetView workbookViewId="0">
      <selection sqref="A1:H1"/>
    </sheetView>
  </sheetViews>
  <sheetFormatPr defaultRowHeight="13.8"/>
  <cols>
    <col min="1" max="1" width="31" customWidth="1"/>
    <col min="2" max="2" width="35" customWidth="1"/>
    <col min="3" max="3" width="33" customWidth="1"/>
    <col min="4" max="4" width="31" customWidth="1"/>
    <col min="5" max="5" width="35" customWidth="1"/>
    <col min="6" max="6" width="17" customWidth="1"/>
    <col min="7" max="7" width="21" customWidth="1"/>
    <col min="8" max="8" width="34" customWidth="1"/>
  </cols>
  <sheetData>
    <row r="1" spans="1:8" ht="17.399999999999999">
      <c r="A1" s="116" t="s">
        <v>1591</v>
      </c>
      <c r="B1" s="116"/>
      <c r="C1" s="116"/>
      <c r="D1" s="116"/>
      <c r="E1" s="116"/>
      <c r="F1" s="116"/>
      <c r="G1" s="116"/>
      <c r="H1" s="116"/>
    </row>
    <row r="2" spans="1:8">
      <c r="A2" s="2"/>
      <c r="B2" s="2"/>
      <c r="C2" s="2"/>
      <c r="D2" s="2"/>
      <c r="E2" s="2"/>
      <c r="F2" s="2"/>
      <c r="G2" s="2"/>
      <c r="H2" s="2"/>
    </row>
    <row r="3" spans="1:8">
      <c r="A3" s="13" t="s">
        <v>1121</v>
      </c>
      <c r="B3" s="13" t="s">
        <v>1353</v>
      </c>
      <c r="C3" s="13" t="s">
        <v>1592</v>
      </c>
      <c r="D3" s="13" t="s">
        <v>1125</v>
      </c>
      <c r="E3" s="13" t="s">
        <v>1355</v>
      </c>
      <c r="F3" s="13" t="s">
        <v>1356</v>
      </c>
      <c r="G3" s="13" t="s">
        <v>1357</v>
      </c>
      <c r="H3" s="13" t="s">
        <v>1358</v>
      </c>
    </row>
    <row r="4" spans="1:8" ht="41.4">
      <c r="A4" s="2" t="s">
        <v>1593</v>
      </c>
      <c r="B4" s="2" t="s">
        <v>1594</v>
      </c>
      <c r="C4" s="2" t="s">
        <v>1595</v>
      </c>
      <c r="D4" s="2" t="s">
        <v>1596</v>
      </c>
      <c r="E4" s="2" t="s">
        <v>1597</v>
      </c>
      <c r="F4" s="2" t="s">
        <v>1143</v>
      </c>
      <c r="G4" s="2" t="s">
        <v>1598</v>
      </c>
      <c r="H4" s="2" t="s">
        <v>1599</v>
      </c>
    </row>
    <row r="5" spans="1:8" ht="27.6">
      <c r="A5" s="2" t="s">
        <v>1600</v>
      </c>
      <c r="B5" s="2" t="s">
        <v>1601</v>
      </c>
      <c r="C5" s="2" t="s">
        <v>1602</v>
      </c>
      <c r="D5" s="2" t="s">
        <v>1603</v>
      </c>
      <c r="E5" s="2" t="s">
        <v>1604</v>
      </c>
      <c r="F5" s="2" t="s">
        <v>1143</v>
      </c>
      <c r="G5" s="2" t="s">
        <v>1605</v>
      </c>
      <c r="H5" s="2" t="s">
        <v>1606</v>
      </c>
    </row>
    <row r="6" spans="1:8" ht="41.4">
      <c r="A6" s="2" t="s">
        <v>1607</v>
      </c>
      <c r="B6" s="2" t="s">
        <v>1608</v>
      </c>
      <c r="C6" s="2" t="s">
        <v>1609</v>
      </c>
      <c r="D6" s="2" t="s">
        <v>1610</v>
      </c>
      <c r="E6" s="2" t="s">
        <v>1611</v>
      </c>
      <c r="F6" s="2" t="s">
        <v>1143</v>
      </c>
      <c r="G6" s="2" t="s">
        <v>1612</v>
      </c>
      <c r="H6" s="2" t="s">
        <v>1613</v>
      </c>
    </row>
    <row r="7" spans="1:8" ht="27.6">
      <c r="A7" s="2" t="s">
        <v>1614</v>
      </c>
      <c r="B7" s="2" t="s">
        <v>1615</v>
      </c>
      <c r="C7" s="2" t="s">
        <v>1616</v>
      </c>
      <c r="D7" s="2" t="s">
        <v>1617</v>
      </c>
      <c r="E7" s="2" t="s">
        <v>1618</v>
      </c>
      <c r="F7" s="2" t="s">
        <v>1143</v>
      </c>
      <c r="G7" s="2" t="s">
        <v>1619</v>
      </c>
      <c r="H7" s="2" t="s">
        <v>1620</v>
      </c>
    </row>
    <row r="8" spans="1:8" ht="27.6">
      <c r="A8" s="2" t="s">
        <v>1621</v>
      </c>
      <c r="B8" s="2" t="s">
        <v>1622</v>
      </c>
      <c r="C8" s="2" t="s">
        <v>1132</v>
      </c>
      <c r="D8" s="2" t="s">
        <v>1623</v>
      </c>
      <c r="E8" s="2" t="s">
        <v>1624</v>
      </c>
      <c r="F8" s="2" t="s">
        <v>1189</v>
      </c>
      <c r="G8" s="2" t="s">
        <v>1413</v>
      </c>
      <c r="H8" s="2" t="s">
        <v>1625</v>
      </c>
    </row>
    <row r="9" spans="1:8" ht="27.6">
      <c r="A9" s="2" t="s">
        <v>1626</v>
      </c>
      <c r="B9" s="2" t="s">
        <v>1627</v>
      </c>
      <c r="C9" s="2" t="s">
        <v>1132</v>
      </c>
      <c r="D9" s="2" t="s">
        <v>1628</v>
      </c>
      <c r="E9" s="2" t="s">
        <v>1629</v>
      </c>
      <c r="F9" s="2" t="s">
        <v>1143</v>
      </c>
      <c r="G9" s="2" t="s">
        <v>1413</v>
      </c>
      <c r="H9" s="2" t="s">
        <v>1630</v>
      </c>
    </row>
    <row r="10" spans="1:8" ht="27.6">
      <c r="A10" s="2" t="s">
        <v>1631</v>
      </c>
      <c r="B10" s="2" t="s">
        <v>1632</v>
      </c>
      <c r="C10" s="2" t="s">
        <v>1132</v>
      </c>
      <c r="D10" s="2" t="s">
        <v>1633</v>
      </c>
      <c r="E10" s="2" t="s">
        <v>1634</v>
      </c>
      <c r="F10" s="2" t="s">
        <v>1182</v>
      </c>
      <c r="G10" s="2" t="s">
        <v>1413</v>
      </c>
      <c r="H10" s="2" t="s">
        <v>1635</v>
      </c>
    </row>
    <row r="11" spans="1:8" ht="27.6">
      <c r="A11" s="2" t="s">
        <v>1636</v>
      </c>
      <c r="B11" s="2" t="s">
        <v>1637</v>
      </c>
      <c r="C11" s="2" t="s">
        <v>1132</v>
      </c>
      <c r="D11" s="2" t="s">
        <v>1638</v>
      </c>
      <c r="E11" s="2" t="s">
        <v>1639</v>
      </c>
      <c r="F11" s="2" t="s">
        <v>1182</v>
      </c>
      <c r="G11" s="2" t="s">
        <v>1413</v>
      </c>
      <c r="H11" s="2" t="s">
        <v>1640</v>
      </c>
    </row>
    <row r="12" spans="1:8" ht="41.4">
      <c r="A12" s="2" t="s">
        <v>1641</v>
      </c>
      <c r="B12" s="2" t="s">
        <v>1642</v>
      </c>
      <c r="C12" s="2" t="s">
        <v>1643</v>
      </c>
      <c r="D12" s="2" t="s">
        <v>1644</v>
      </c>
      <c r="E12" s="2" t="s">
        <v>1645</v>
      </c>
      <c r="F12" s="2" t="s">
        <v>1189</v>
      </c>
      <c r="G12" s="2" t="s">
        <v>1413</v>
      </c>
      <c r="H12" s="2" t="s">
        <v>1646</v>
      </c>
    </row>
    <row r="13" spans="1:8" ht="41.4">
      <c r="A13" s="2" t="s">
        <v>1647</v>
      </c>
      <c r="B13" s="2" t="s">
        <v>1648</v>
      </c>
      <c r="C13" s="2" t="s">
        <v>1649</v>
      </c>
      <c r="D13" s="2" t="s">
        <v>1650</v>
      </c>
      <c r="E13" s="2" t="s">
        <v>1651</v>
      </c>
      <c r="F13" s="2" t="s">
        <v>1189</v>
      </c>
      <c r="G13" s="2" t="s">
        <v>1413</v>
      </c>
      <c r="H13" s="2" t="s">
        <v>1652</v>
      </c>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0"/>
  <sheetViews>
    <sheetView topLeftCell="A16" workbookViewId="0">
      <selection sqref="A1:J1"/>
    </sheetView>
  </sheetViews>
  <sheetFormatPr defaultRowHeight="13.8"/>
  <cols>
    <col min="1" max="1" width="10" customWidth="1"/>
    <col min="2" max="2" width="33" customWidth="1"/>
    <col min="3" max="3" width="10" customWidth="1"/>
    <col min="4" max="4" width="18" customWidth="1"/>
    <col min="5" max="5" width="29" customWidth="1"/>
    <col min="6" max="6" width="42" customWidth="1"/>
    <col min="7" max="7" width="38" customWidth="1"/>
    <col min="8" max="8" width="19" customWidth="1"/>
    <col min="9" max="9" width="16" customWidth="1"/>
    <col min="10" max="10" width="40" customWidth="1"/>
  </cols>
  <sheetData>
    <row r="1" spans="1:10" ht="17.399999999999999">
      <c r="A1" s="116" t="s">
        <v>1653</v>
      </c>
      <c r="B1" s="116"/>
      <c r="C1" s="116"/>
      <c r="D1" s="116"/>
      <c r="E1" s="116"/>
      <c r="F1" s="116"/>
      <c r="G1" s="116"/>
      <c r="H1" s="116"/>
      <c r="I1" s="116"/>
      <c r="J1" s="116"/>
    </row>
    <row r="2" spans="1:10">
      <c r="A2" s="2"/>
      <c r="B2" s="2"/>
      <c r="C2" s="2"/>
      <c r="D2" s="2"/>
      <c r="E2" s="2"/>
      <c r="F2" s="2"/>
      <c r="G2" s="2"/>
      <c r="H2" s="2"/>
      <c r="I2" s="2"/>
      <c r="J2" s="2"/>
    </row>
    <row r="3" spans="1:10">
      <c r="A3" s="13" t="s">
        <v>367</v>
      </c>
      <c r="B3" s="13" t="s">
        <v>1197</v>
      </c>
      <c r="C3" s="13" t="s">
        <v>8</v>
      </c>
      <c r="D3" s="13" t="s">
        <v>504</v>
      </c>
      <c r="E3" s="13" t="s">
        <v>12</v>
      </c>
      <c r="F3" s="13" t="s">
        <v>1422</v>
      </c>
      <c r="G3" s="13" t="s">
        <v>1654</v>
      </c>
      <c r="H3" s="13" t="s">
        <v>1199</v>
      </c>
      <c r="I3" s="13" t="s">
        <v>1200</v>
      </c>
      <c r="J3" s="13" t="s">
        <v>507</v>
      </c>
    </row>
    <row r="4" spans="1:10" ht="41.4">
      <c r="A4" s="2" t="s">
        <v>1655</v>
      </c>
      <c r="B4" s="2" t="s">
        <v>1656</v>
      </c>
      <c r="C4" s="2" t="s">
        <v>103</v>
      </c>
      <c r="D4" s="2">
        <v>850</v>
      </c>
      <c r="E4" s="2" t="s">
        <v>1657</v>
      </c>
      <c r="F4" s="2" t="s">
        <v>1658</v>
      </c>
      <c r="G4" s="2" t="s">
        <v>510</v>
      </c>
      <c r="H4" s="2" t="s">
        <v>753</v>
      </c>
      <c r="I4" s="2" t="s">
        <v>1189</v>
      </c>
      <c r="J4" s="2" t="s">
        <v>1659</v>
      </c>
    </row>
    <row r="5" spans="1:10" ht="27.6">
      <c r="A5" s="2" t="s">
        <v>1660</v>
      </c>
      <c r="B5" s="2" t="s">
        <v>1661</v>
      </c>
      <c r="C5" s="2" t="s">
        <v>103</v>
      </c>
      <c r="D5" s="2">
        <v>1200</v>
      </c>
      <c r="E5" s="2" t="s">
        <v>1657</v>
      </c>
      <c r="F5" s="2" t="s">
        <v>1662</v>
      </c>
      <c r="G5" s="2" t="s">
        <v>510</v>
      </c>
      <c r="H5" s="2" t="s">
        <v>753</v>
      </c>
      <c r="I5" s="2" t="s">
        <v>1189</v>
      </c>
      <c r="J5" s="2"/>
    </row>
    <row r="6" spans="1:10" ht="41.4">
      <c r="A6" s="2" t="s">
        <v>1663</v>
      </c>
      <c r="B6" s="2" t="s">
        <v>1664</v>
      </c>
      <c r="C6" s="2" t="s">
        <v>103</v>
      </c>
      <c r="D6" s="2">
        <v>1300</v>
      </c>
      <c r="E6" s="2" t="s">
        <v>1665</v>
      </c>
      <c r="F6" s="2" t="s">
        <v>1666</v>
      </c>
      <c r="G6" s="2" t="s">
        <v>510</v>
      </c>
      <c r="H6" s="2" t="s">
        <v>1241</v>
      </c>
      <c r="I6" s="2" t="s">
        <v>1206</v>
      </c>
      <c r="J6" s="2" t="s">
        <v>1667</v>
      </c>
    </row>
    <row r="7" spans="1:10" ht="27.6">
      <c r="A7" s="2" t="s">
        <v>1668</v>
      </c>
      <c r="B7" s="2" t="s">
        <v>1669</v>
      </c>
      <c r="C7" s="2" t="s">
        <v>103</v>
      </c>
      <c r="D7" s="2">
        <v>1500</v>
      </c>
      <c r="E7" s="2" t="s">
        <v>1657</v>
      </c>
      <c r="F7" s="2" t="s">
        <v>1670</v>
      </c>
      <c r="G7" s="2" t="s">
        <v>510</v>
      </c>
      <c r="H7" s="2" t="s">
        <v>1241</v>
      </c>
      <c r="I7" s="2" t="s">
        <v>1189</v>
      </c>
      <c r="J7" s="2"/>
    </row>
    <row r="8" spans="1:10" ht="27.6">
      <c r="A8" s="2" t="s">
        <v>1671</v>
      </c>
      <c r="B8" s="2" t="s">
        <v>1672</v>
      </c>
      <c r="C8" s="2" t="s">
        <v>103</v>
      </c>
      <c r="D8" s="2">
        <v>1800</v>
      </c>
      <c r="E8" s="2" t="s">
        <v>1657</v>
      </c>
      <c r="F8" s="2" t="s">
        <v>1673</v>
      </c>
      <c r="G8" s="2" t="s">
        <v>510</v>
      </c>
      <c r="H8" s="2" t="s">
        <v>1241</v>
      </c>
      <c r="I8" s="2" t="s">
        <v>1189</v>
      </c>
      <c r="J8" s="2"/>
    </row>
    <row r="9" spans="1:10" ht="27.6">
      <c r="A9" s="2" t="s">
        <v>1674</v>
      </c>
      <c r="B9" s="2" t="s">
        <v>1675</v>
      </c>
      <c r="C9" s="2" t="s">
        <v>103</v>
      </c>
      <c r="D9" s="2">
        <v>2300</v>
      </c>
      <c r="E9" s="2" t="s">
        <v>1657</v>
      </c>
      <c r="F9" s="2" t="s">
        <v>1676</v>
      </c>
      <c r="G9" s="2" t="s">
        <v>510</v>
      </c>
      <c r="H9" s="2" t="s">
        <v>1241</v>
      </c>
      <c r="I9" s="2" t="s">
        <v>1189</v>
      </c>
      <c r="J9" s="2"/>
    </row>
    <row r="10" spans="1:10" ht="27.6">
      <c r="A10" s="2" t="s">
        <v>1677</v>
      </c>
      <c r="B10" s="2" t="s">
        <v>1678</v>
      </c>
      <c r="C10" s="2" t="s">
        <v>753</v>
      </c>
      <c r="D10" s="2">
        <v>5390</v>
      </c>
      <c r="E10" s="2" t="s">
        <v>1679</v>
      </c>
      <c r="F10" s="2" t="s">
        <v>1680</v>
      </c>
      <c r="G10" s="2" t="s">
        <v>510</v>
      </c>
      <c r="H10" s="2" t="s">
        <v>753</v>
      </c>
      <c r="I10" s="2" t="s">
        <v>1143</v>
      </c>
      <c r="J10" s="2" t="s">
        <v>1681</v>
      </c>
    </row>
    <row r="11" spans="1:10" ht="41.4">
      <c r="A11" s="2" t="s">
        <v>1682</v>
      </c>
      <c r="B11" s="2" t="s">
        <v>1683</v>
      </c>
      <c r="C11" s="2" t="s">
        <v>753</v>
      </c>
      <c r="D11" s="2">
        <v>160000</v>
      </c>
      <c r="E11" s="2" t="s">
        <v>1684</v>
      </c>
      <c r="F11" s="2" t="s">
        <v>1685</v>
      </c>
      <c r="G11" s="2" t="s">
        <v>1686</v>
      </c>
      <c r="H11" s="2" t="s">
        <v>1241</v>
      </c>
      <c r="I11" s="2" t="s">
        <v>1189</v>
      </c>
      <c r="J11" s="2" t="s">
        <v>1687</v>
      </c>
    </row>
    <row r="12" spans="1:10">
      <c r="A12" s="2" t="s">
        <v>1688</v>
      </c>
      <c r="B12" s="2" t="s">
        <v>1689</v>
      </c>
      <c r="C12" s="2" t="s">
        <v>103</v>
      </c>
      <c r="D12" s="2">
        <v>2800</v>
      </c>
      <c r="E12" s="2" t="s">
        <v>1690</v>
      </c>
      <c r="F12" s="2" t="s">
        <v>1691</v>
      </c>
      <c r="G12" s="2" t="s">
        <v>1692</v>
      </c>
      <c r="H12" s="2" t="s">
        <v>1212</v>
      </c>
      <c r="I12" s="2" t="s">
        <v>1206</v>
      </c>
      <c r="J12" s="2" t="s">
        <v>1693</v>
      </c>
    </row>
    <row r="13" spans="1:10">
      <c r="A13" s="2" t="s">
        <v>1694</v>
      </c>
      <c r="B13" s="2" t="s">
        <v>1695</v>
      </c>
      <c r="C13" s="2" t="s">
        <v>103</v>
      </c>
      <c r="D13" s="2">
        <v>3600</v>
      </c>
      <c r="E13" s="2" t="s">
        <v>1690</v>
      </c>
      <c r="F13" s="2" t="s">
        <v>1691</v>
      </c>
      <c r="G13" s="2" t="s">
        <v>1692</v>
      </c>
      <c r="H13" s="2" t="s">
        <v>1212</v>
      </c>
      <c r="I13" s="2" t="s">
        <v>1206</v>
      </c>
      <c r="J13" s="2" t="s">
        <v>1693</v>
      </c>
    </row>
    <row r="14" spans="1:10" ht="41.4">
      <c r="A14" s="2" t="s">
        <v>1696</v>
      </c>
      <c r="B14" s="2" t="s">
        <v>1697</v>
      </c>
      <c r="C14" s="2" t="s">
        <v>286</v>
      </c>
      <c r="D14" s="2">
        <v>1800000</v>
      </c>
      <c r="E14" s="2" t="s">
        <v>1273</v>
      </c>
      <c r="F14" s="2" t="s">
        <v>1698</v>
      </c>
      <c r="G14" s="2" t="s">
        <v>1699</v>
      </c>
      <c r="H14" s="2" t="s">
        <v>1700</v>
      </c>
      <c r="I14" s="2" t="s">
        <v>1182</v>
      </c>
      <c r="J14" s="2" t="s">
        <v>1701</v>
      </c>
    </row>
    <row r="15" spans="1:10" ht="27.6">
      <c r="A15" s="2" t="s">
        <v>1702</v>
      </c>
      <c r="B15" s="2" t="s">
        <v>1703</v>
      </c>
      <c r="C15" s="2" t="s">
        <v>753</v>
      </c>
      <c r="D15" s="2">
        <v>75000</v>
      </c>
      <c r="E15" s="2" t="s">
        <v>1273</v>
      </c>
      <c r="F15" s="2" t="s">
        <v>1704</v>
      </c>
      <c r="G15" s="2" t="s">
        <v>1705</v>
      </c>
      <c r="H15" s="2" t="s">
        <v>1212</v>
      </c>
      <c r="I15" s="2" t="s">
        <v>1206</v>
      </c>
      <c r="J15" s="2" t="s">
        <v>1706</v>
      </c>
    </row>
    <row r="16" spans="1:10">
      <c r="A16" s="2"/>
      <c r="B16" s="2"/>
      <c r="C16" s="2"/>
      <c r="D16" s="2"/>
      <c r="E16" s="2"/>
      <c r="F16" s="2"/>
      <c r="G16" s="2"/>
      <c r="H16" s="2"/>
      <c r="I16" s="2"/>
      <c r="J16" s="2"/>
    </row>
    <row r="17" spans="1:10">
      <c r="A17" s="2"/>
      <c r="B17" s="2"/>
      <c r="C17" s="2"/>
      <c r="D17" s="2"/>
      <c r="E17" s="2"/>
      <c r="F17" s="2"/>
      <c r="G17" s="2"/>
      <c r="H17" s="2"/>
      <c r="I17" s="2"/>
      <c r="J17" s="2"/>
    </row>
    <row r="18" spans="1:10" ht="69">
      <c r="A18" s="2" t="s">
        <v>1482</v>
      </c>
      <c r="B18" s="2"/>
      <c r="C18" s="2"/>
      <c r="D18" s="2"/>
      <c r="E18" s="2"/>
      <c r="F18" s="2"/>
      <c r="G18" s="2"/>
      <c r="H18" s="2"/>
      <c r="I18" s="2"/>
      <c r="J18" s="2"/>
    </row>
    <row r="19" spans="1:10" ht="69">
      <c r="A19" s="2" t="s">
        <v>488</v>
      </c>
      <c r="B19" s="2" t="s">
        <v>1707</v>
      </c>
      <c r="C19" s="2"/>
      <c r="D19" s="2"/>
      <c r="E19" s="2"/>
      <c r="F19" s="2"/>
      <c r="G19" s="2"/>
      <c r="H19" s="2"/>
      <c r="I19" s="2"/>
      <c r="J19" s="2"/>
    </row>
    <row r="20" spans="1:10" ht="55.2">
      <c r="A20" s="2" t="s">
        <v>490</v>
      </c>
      <c r="B20" s="2" t="s">
        <v>1708</v>
      </c>
      <c r="C20" s="2"/>
      <c r="D20" s="2"/>
      <c r="E20" s="2"/>
      <c r="F20" s="2"/>
      <c r="G20" s="2"/>
      <c r="H20" s="2"/>
      <c r="I20" s="2"/>
      <c r="J20" s="2"/>
    </row>
    <row r="21" spans="1:10" ht="82.8">
      <c r="A21" s="2" t="s">
        <v>492</v>
      </c>
      <c r="B21" s="2" t="s">
        <v>1709</v>
      </c>
      <c r="C21" s="2"/>
      <c r="D21" s="2"/>
      <c r="E21" s="2"/>
      <c r="F21" s="2"/>
      <c r="G21" s="2"/>
      <c r="H21" s="2"/>
      <c r="I21" s="2"/>
      <c r="J21" s="2"/>
    </row>
    <row r="22" spans="1:10" ht="82.8">
      <c r="A22" s="2" t="s">
        <v>494</v>
      </c>
      <c r="B22" s="2" t="s">
        <v>1710</v>
      </c>
      <c r="C22" s="2"/>
      <c r="D22" s="2"/>
      <c r="E22" s="2"/>
      <c r="F22" s="2"/>
      <c r="G22" s="2"/>
      <c r="H22" s="2"/>
      <c r="I22" s="2"/>
      <c r="J22" s="2"/>
    </row>
    <row r="23" spans="1:10" ht="69">
      <c r="A23" s="2" t="s">
        <v>496</v>
      </c>
      <c r="B23" s="2" t="s">
        <v>1711</v>
      </c>
      <c r="C23" s="2"/>
      <c r="D23" s="2"/>
      <c r="E23" s="2"/>
      <c r="F23" s="2"/>
      <c r="G23" s="2"/>
      <c r="H23" s="2"/>
      <c r="I23" s="2"/>
      <c r="J23" s="2"/>
    </row>
    <row r="24" spans="1:10" ht="55.2">
      <c r="A24" s="2" t="s">
        <v>498</v>
      </c>
      <c r="B24" s="2" t="s">
        <v>1712</v>
      </c>
      <c r="C24" s="2"/>
      <c r="D24" s="2"/>
      <c r="E24" s="2"/>
      <c r="F24" s="2"/>
      <c r="G24" s="2"/>
      <c r="H24" s="2"/>
      <c r="I24" s="2"/>
      <c r="J24" s="2"/>
    </row>
    <row r="25" spans="1:10" ht="55.2">
      <c r="A25" s="2" t="s">
        <v>1489</v>
      </c>
      <c r="B25" s="2" t="s">
        <v>1713</v>
      </c>
      <c r="C25" s="2"/>
      <c r="D25" s="2"/>
      <c r="E25" s="2"/>
      <c r="F25" s="2"/>
      <c r="G25" s="2"/>
      <c r="H25" s="2"/>
      <c r="I25" s="2"/>
      <c r="J25" s="2"/>
    </row>
    <row r="26" spans="1:10" ht="69">
      <c r="A26" s="2" t="s">
        <v>1714</v>
      </c>
      <c r="B26" s="2" t="s">
        <v>1715</v>
      </c>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sheetData>
  <mergeCells count="1">
    <mergeCell ref="A1:J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33E5-ED93-47DE-BF3C-FACA73A3E0BF}">
  <dimension ref="A1"/>
  <sheetViews>
    <sheetView workbookViewId="0"/>
  </sheetViews>
  <sheetFormatPr defaultRowHeight="13.8"/>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4"/>
  <sheetViews>
    <sheetView topLeftCell="A16" workbookViewId="0">
      <selection activeCell="C21" sqref="C21"/>
    </sheetView>
  </sheetViews>
  <sheetFormatPr defaultColWidth="8.69921875" defaultRowHeight="13.8"/>
  <cols>
    <col min="1" max="1" width="9" style="8" customWidth="1"/>
    <col min="2" max="2" width="29" style="8" customWidth="1"/>
    <col min="3" max="3" width="64" style="8" customWidth="1"/>
    <col min="4" max="4" width="8" style="8" customWidth="1"/>
    <col min="5" max="5" width="9" style="8" customWidth="1"/>
    <col min="6" max="6" width="14" style="8" customWidth="1"/>
    <col min="7" max="7" width="16" style="8" customWidth="1"/>
    <col min="8" max="10" width="31" style="8" customWidth="1"/>
    <col min="11" max="11" width="16" style="8" customWidth="1"/>
    <col min="12" max="12" width="35" style="8" customWidth="1"/>
    <col min="13" max="16384" width="8.69921875" style="8"/>
  </cols>
  <sheetData>
    <row r="1" spans="1:12" ht="17.399999999999999">
      <c r="A1" s="117" t="s">
        <v>1716</v>
      </c>
      <c r="B1" s="117"/>
      <c r="C1" s="117"/>
      <c r="D1" s="117"/>
      <c r="E1" s="117"/>
      <c r="F1" s="117"/>
      <c r="G1" s="117"/>
      <c r="H1" s="117"/>
      <c r="I1" s="117"/>
      <c r="J1" s="117"/>
      <c r="K1" s="117"/>
      <c r="L1" s="117"/>
    </row>
    <row r="2" spans="1:12" ht="14.4">
      <c r="A2" s="118" t="s">
        <v>1717</v>
      </c>
      <c r="B2" s="118"/>
      <c r="C2" s="118"/>
      <c r="D2" s="118"/>
      <c r="E2" s="118"/>
      <c r="F2" s="118"/>
      <c r="G2" s="118"/>
      <c r="H2" s="118"/>
      <c r="I2" s="118"/>
      <c r="J2" s="118"/>
      <c r="K2" s="118"/>
      <c r="L2" s="118"/>
    </row>
    <row r="4" spans="1:12">
      <c r="A4" s="50" t="s">
        <v>619</v>
      </c>
      <c r="B4" s="50" t="s">
        <v>5</v>
      </c>
      <c r="C4" s="50" t="s">
        <v>1020</v>
      </c>
      <c r="D4" s="50" t="s">
        <v>8</v>
      </c>
      <c r="E4" s="50" t="s">
        <v>9</v>
      </c>
      <c r="F4" s="50" t="s">
        <v>10</v>
      </c>
      <c r="G4" s="50" t="s">
        <v>11</v>
      </c>
      <c r="H4" s="50" t="s">
        <v>1021</v>
      </c>
      <c r="I4" s="50" t="s">
        <v>371</v>
      </c>
      <c r="J4" s="50" t="s">
        <v>1022</v>
      </c>
      <c r="K4" s="50" t="s">
        <v>4</v>
      </c>
      <c r="L4" s="50" t="s">
        <v>623</v>
      </c>
    </row>
    <row r="5" spans="1:12" ht="69">
      <c r="A5" s="6" t="s">
        <v>18</v>
      </c>
      <c r="B5" s="51" t="s">
        <v>1718</v>
      </c>
      <c r="C5" s="6" t="s">
        <v>1719</v>
      </c>
      <c r="D5" s="6" t="s">
        <v>20</v>
      </c>
      <c r="E5" s="41">
        <v>1</v>
      </c>
      <c r="F5" s="42">
        <v>400000</v>
      </c>
      <c r="G5" s="42">
        <f t="shared" ref="G5:G27" si="0">E5*F5</f>
        <v>400000</v>
      </c>
      <c r="H5" s="6" t="s">
        <v>1039</v>
      </c>
      <c r="I5" s="6" t="s">
        <v>1720</v>
      </c>
      <c r="J5" s="6" t="s">
        <v>1275</v>
      </c>
      <c r="K5" s="6" t="s">
        <v>657</v>
      </c>
      <c r="L5" s="6" t="s">
        <v>1721</v>
      </c>
    </row>
    <row r="6" spans="1:12" ht="41.4">
      <c r="A6" s="6" t="s">
        <v>25</v>
      </c>
      <c r="B6" s="51" t="s">
        <v>1718</v>
      </c>
      <c r="C6" s="6" t="s">
        <v>1722</v>
      </c>
      <c r="D6" s="6" t="s">
        <v>20</v>
      </c>
      <c r="E6" s="41">
        <v>1</v>
      </c>
      <c r="F6" s="42">
        <v>250000</v>
      </c>
      <c r="G6" s="42">
        <f t="shared" si="0"/>
        <v>250000</v>
      </c>
      <c r="H6" s="6" t="s">
        <v>1498</v>
      </c>
      <c r="I6" s="6" t="s">
        <v>1723</v>
      </c>
      <c r="J6" s="6" t="s">
        <v>1724</v>
      </c>
      <c r="K6" s="6" t="s">
        <v>657</v>
      </c>
      <c r="L6" s="6" t="s">
        <v>1725</v>
      </c>
    </row>
    <row r="7" spans="1:12" ht="55.2">
      <c r="A7" s="6" t="s">
        <v>63</v>
      </c>
      <c r="B7" s="51" t="s">
        <v>1726</v>
      </c>
      <c r="C7" s="6" t="s">
        <v>1727</v>
      </c>
      <c r="D7" s="6" t="s">
        <v>103</v>
      </c>
      <c r="E7" s="41">
        <v>180</v>
      </c>
      <c r="F7" s="42">
        <v>1800</v>
      </c>
      <c r="G7" s="42">
        <f t="shared" si="0"/>
        <v>324000</v>
      </c>
      <c r="H7" s="6" t="s">
        <v>1728</v>
      </c>
      <c r="I7" s="6" t="s">
        <v>1729</v>
      </c>
      <c r="J7" s="6" t="s">
        <v>1730</v>
      </c>
      <c r="K7" s="6" t="s">
        <v>1069</v>
      </c>
      <c r="L7" s="6" t="s">
        <v>1731</v>
      </c>
    </row>
    <row r="8" spans="1:12" ht="27.6">
      <c r="A8" s="6" t="s">
        <v>69</v>
      </c>
      <c r="B8" s="51" t="s">
        <v>1726</v>
      </c>
      <c r="C8" s="6" t="s">
        <v>1732</v>
      </c>
      <c r="D8" s="6" t="s">
        <v>103</v>
      </c>
      <c r="E8" s="41">
        <v>120</v>
      </c>
      <c r="F8" s="42">
        <v>2400</v>
      </c>
      <c r="G8" s="42">
        <f t="shared" si="0"/>
        <v>288000</v>
      </c>
      <c r="H8" s="6" t="s">
        <v>1733</v>
      </c>
      <c r="I8" s="6" t="s">
        <v>1734</v>
      </c>
      <c r="J8" s="6" t="s">
        <v>1275</v>
      </c>
      <c r="K8" s="6" t="s">
        <v>1069</v>
      </c>
      <c r="L8" s="6" t="s">
        <v>1735</v>
      </c>
    </row>
    <row r="9" spans="1:12" ht="41.4">
      <c r="A9" s="6" t="s">
        <v>75</v>
      </c>
      <c r="B9" s="51" t="s">
        <v>1726</v>
      </c>
      <c r="C9" s="6" t="s">
        <v>1736</v>
      </c>
      <c r="D9" s="6" t="s">
        <v>103</v>
      </c>
      <c r="E9" s="41">
        <v>80</v>
      </c>
      <c r="F9" s="42">
        <v>3000</v>
      </c>
      <c r="G9" s="42">
        <f t="shared" si="0"/>
        <v>240000</v>
      </c>
      <c r="H9" s="6" t="s">
        <v>1737</v>
      </c>
      <c r="I9" s="6" t="s">
        <v>1738</v>
      </c>
      <c r="J9" s="6" t="s">
        <v>1275</v>
      </c>
      <c r="K9" s="6" t="s">
        <v>1069</v>
      </c>
      <c r="L9" s="6" t="s">
        <v>1739</v>
      </c>
    </row>
    <row r="10" spans="1:12" ht="27.6">
      <c r="A10" s="6" t="s">
        <v>78</v>
      </c>
      <c r="B10" s="51" t="s">
        <v>1726</v>
      </c>
      <c r="C10" s="6" t="s">
        <v>1740</v>
      </c>
      <c r="D10" s="6" t="s">
        <v>103</v>
      </c>
      <c r="E10" s="41">
        <v>100</v>
      </c>
      <c r="F10" s="42">
        <v>1700</v>
      </c>
      <c r="G10" s="42">
        <f t="shared" si="0"/>
        <v>170000</v>
      </c>
      <c r="H10" s="6" t="s">
        <v>1733</v>
      </c>
      <c r="I10" s="6" t="s">
        <v>1741</v>
      </c>
      <c r="J10" s="6" t="s">
        <v>1275</v>
      </c>
      <c r="K10" s="6" t="s">
        <v>1069</v>
      </c>
      <c r="L10" s="6" t="s">
        <v>1742</v>
      </c>
    </row>
    <row r="11" spans="1:12" ht="41.4">
      <c r="A11" s="6" t="s">
        <v>84</v>
      </c>
      <c r="B11" s="51" t="s">
        <v>1726</v>
      </c>
      <c r="C11" s="6" t="s">
        <v>1743</v>
      </c>
      <c r="D11" s="6" t="s">
        <v>753</v>
      </c>
      <c r="E11" s="41">
        <v>12</v>
      </c>
      <c r="F11" s="42">
        <v>15000</v>
      </c>
      <c r="G11" s="42">
        <f t="shared" si="0"/>
        <v>180000</v>
      </c>
      <c r="H11" s="6" t="s">
        <v>1744</v>
      </c>
      <c r="I11" s="6" t="s">
        <v>65</v>
      </c>
      <c r="J11" s="6" t="s">
        <v>1275</v>
      </c>
      <c r="K11" s="6" t="s">
        <v>1069</v>
      </c>
      <c r="L11" s="6" t="s">
        <v>1745</v>
      </c>
    </row>
    <row r="12" spans="1:12" ht="27.6">
      <c r="A12" s="6" t="s">
        <v>88</v>
      </c>
      <c r="B12" s="51" t="s">
        <v>1726</v>
      </c>
      <c r="C12" s="6" t="s">
        <v>1746</v>
      </c>
      <c r="D12" s="6" t="s">
        <v>753</v>
      </c>
      <c r="E12" s="41">
        <v>4</v>
      </c>
      <c r="F12" s="42">
        <v>12000</v>
      </c>
      <c r="G12" s="42">
        <f t="shared" si="0"/>
        <v>48000</v>
      </c>
      <c r="H12" s="6" t="s">
        <v>1039</v>
      </c>
      <c r="I12" s="6" t="s">
        <v>1747</v>
      </c>
      <c r="J12" s="6" t="s">
        <v>1275</v>
      </c>
      <c r="K12" s="6" t="s">
        <v>1069</v>
      </c>
      <c r="L12" s="6" t="s">
        <v>1748</v>
      </c>
    </row>
    <row r="13" spans="1:12" ht="41.4">
      <c r="A13" s="6" t="s">
        <v>129</v>
      </c>
      <c r="B13" s="51" t="s">
        <v>1749</v>
      </c>
      <c r="C13" s="6" t="s">
        <v>1750</v>
      </c>
      <c r="D13" s="6" t="s">
        <v>753</v>
      </c>
      <c r="E13" s="41">
        <v>10</v>
      </c>
      <c r="F13" s="42">
        <v>45000</v>
      </c>
      <c r="G13" s="42">
        <f t="shared" si="0"/>
        <v>450000</v>
      </c>
      <c r="H13" s="6" t="s">
        <v>1751</v>
      </c>
      <c r="I13" s="6" t="s">
        <v>1752</v>
      </c>
      <c r="J13" s="6" t="s">
        <v>1753</v>
      </c>
      <c r="K13" s="6" t="s">
        <v>1069</v>
      </c>
      <c r="L13" s="6" t="s">
        <v>1754</v>
      </c>
    </row>
    <row r="14" spans="1:12" ht="41.4">
      <c r="A14" s="6" t="s">
        <v>134</v>
      </c>
      <c r="B14" s="51" t="s">
        <v>1749</v>
      </c>
      <c r="C14" s="6" t="s">
        <v>1755</v>
      </c>
      <c r="D14" s="6" t="s">
        <v>753</v>
      </c>
      <c r="E14" s="41">
        <v>5</v>
      </c>
      <c r="F14" s="42">
        <v>18000</v>
      </c>
      <c r="G14" s="42">
        <f t="shared" si="0"/>
        <v>90000</v>
      </c>
      <c r="H14" s="6" t="s">
        <v>1039</v>
      </c>
      <c r="I14" s="6" t="s">
        <v>1756</v>
      </c>
      <c r="J14" s="6" t="s">
        <v>1757</v>
      </c>
      <c r="K14" s="6" t="s">
        <v>1069</v>
      </c>
      <c r="L14" s="6" t="s">
        <v>1758</v>
      </c>
    </row>
    <row r="15" spans="1:12" ht="41.4">
      <c r="A15" s="6" t="s">
        <v>139</v>
      </c>
      <c r="B15" s="51" t="s">
        <v>1749</v>
      </c>
      <c r="C15" s="6" t="s">
        <v>1759</v>
      </c>
      <c r="D15" s="6" t="s">
        <v>753</v>
      </c>
      <c r="E15" s="41">
        <v>3</v>
      </c>
      <c r="F15" s="42">
        <v>40000</v>
      </c>
      <c r="G15" s="42">
        <f t="shared" si="0"/>
        <v>120000</v>
      </c>
      <c r="H15" s="6" t="s">
        <v>1088</v>
      </c>
      <c r="I15" s="6" t="s">
        <v>1760</v>
      </c>
      <c r="J15" s="6" t="s">
        <v>1761</v>
      </c>
      <c r="K15" s="6" t="s">
        <v>657</v>
      </c>
      <c r="L15" s="6" t="s">
        <v>1762</v>
      </c>
    </row>
    <row r="16" spans="1:12" ht="41.4">
      <c r="A16" s="6" t="s">
        <v>141</v>
      </c>
      <c r="B16" s="51" t="s">
        <v>1749</v>
      </c>
      <c r="C16" s="6" t="s">
        <v>1763</v>
      </c>
      <c r="D16" s="6" t="s">
        <v>753</v>
      </c>
      <c r="E16" s="41">
        <v>2</v>
      </c>
      <c r="F16" s="42">
        <v>30000</v>
      </c>
      <c r="G16" s="42">
        <f t="shared" si="0"/>
        <v>60000</v>
      </c>
      <c r="H16" s="6" t="s">
        <v>1088</v>
      </c>
      <c r="I16" s="6" t="s">
        <v>1571</v>
      </c>
      <c r="J16" s="6" t="s">
        <v>1764</v>
      </c>
      <c r="K16" s="6" t="s">
        <v>657</v>
      </c>
      <c r="L16" s="6" t="s">
        <v>1573</v>
      </c>
    </row>
    <row r="17" spans="1:12" ht="55.2">
      <c r="A17" s="6" t="s">
        <v>147</v>
      </c>
      <c r="B17" s="51" t="s">
        <v>1749</v>
      </c>
      <c r="C17" s="6" t="s">
        <v>1765</v>
      </c>
      <c r="D17" s="6" t="s">
        <v>20</v>
      </c>
      <c r="E17" s="41">
        <v>1</v>
      </c>
      <c r="F17" s="42">
        <v>300000</v>
      </c>
      <c r="G17" s="42">
        <f t="shared" si="0"/>
        <v>300000</v>
      </c>
      <c r="H17" s="6" t="s">
        <v>1039</v>
      </c>
      <c r="I17" s="6" t="s">
        <v>1766</v>
      </c>
      <c r="J17" s="6" t="s">
        <v>1576</v>
      </c>
      <c r="K17" s="6" t="s">
        <v>657</v>
      </c>
      <c r="L17" s="6" t="s">
        <v>1577</v>
      </c>
    </row>
    <row r="18" spans="1:12" ht="41.4">
      <c r="A18" s="6" t="s">
        <v>156</v>
      </c>
      <c r="B18" s="51" t="s">
        <v>1749</v>
      </c>
      <c r="C18" s="6" t="s">
        <v>1767</v>
      </c>
      <c r="D18" s="6" t="s">
        <v>753</v>
      </c>
      <c r="E18" s="41">
        <v>4</v>
      </c>
      <c r="F18" s="42">
        <v>6500</v>
      </c>
      <c r="G18" s="42">
        <f t="shared" si="0"/>
        <v>26000</v>
      </c>
      <c r="H18" s="6" t="s">
        <v>1768</v>
      </c>
      <c r="I18" s="6" t="s">
        <v>65</v>
      </c>
      <c r="J18" s="6" t="s">
        <v>1275</v>
      </c>
      <c r="K18" s="6" t="s">
        <v>1069</v>
      </c>
      <c r="L18" s="6" t="s">
        <v>1769</v>
      </c>
    </row>
    <row r="19" spans="1:12" ht="41.4">
      <c r="A19" s="6" t="s">
        <v>160</v>
      </c>
      <c r="B19" s="51" t="s">
        <v>1749</v>
      </c>
      <c r="C19" s="6" t="s">
        <v>1770</v>
      </c>
      <c r="D19" s="6" t="s">
        <v>753</v>
      </c>
      <c r="E19" s="41">
        <v>1</v>
      </c>
      <c r="F19" s="42">
        <v>180000</v>
      </c>
      <c r="G19" s="42">
        <f t="shared" si="0"/>
        <v>180000</v>
      </c>
      <c r="H19" s="6" t="s">
        <v>1050</v>
      </c>
      <c r="I19" s="6" t="s">
        <v>1771</v>
      </c>
      <c r="J19" s="6" t="s">
        <v>1275</v>
      </c>
      <c r="K19" s="6" t="s">
        <v>657</v>
      </c>
      <c r="L19" s="6" t="s">
        <v>1772</v>
      </c>
    </row>
    <row r="20" spans="1:12" ht="55.2">
      <c r="A20" s="6" t="s">
        <v>183</v>
      </c>
      <c r="B20" s="51" t="s">
        <v>1773</v>
      </c>
      <c r="C20" s="6" t="s">
        <v>1774</v>
      </c>
      <c r="D20" s="6" t="s">
        <v>103</v>
      </c>
      <c r="E20" s="41">
        <v>60</v>
      </c>
      <c r="F20" s="42">
        <v>3100</v>
      </c>
      <c r="G20" s="42">
        <f t="shared" si="0"/>
        <v>186000</v>
      </c>
      <c r="H20" s="6" t="s">
        <v>1775</v>
      </c>
      <c r="I20" s="6" t="s">
        <v>1738</v>
      </c>
      <c r="J20" s="6" t="s">
        <v>1275</v>
      </c>
      <c r="K20" s="6" t="s">
        <v>1069</v>
      </c>
      <c r="L20" s="6" t="s">
        <v>1776</v>
      </c>
    </row>
    <row r="21" spans="1:12" ht="55.2">
      <c r="A21" s="6" t="s">
        <v>188</v>
      </c>
      <c r="B21" s="51" t="s">
        <v>1773</v>
      </c>
      <c r="C21" s="6" t="s">
        <v>1777</v>
      </c>
      <c r="D21" s="6" t="s">
        <v>753</v>
      </c>
      <c r="E21" s="41">
        <v>4</v>
      </c>
      <c r="F21" s="42">
        <v>55000</v>
      </c>
      <c r="G21" s="42">
        <f t="shared" si="0"/>
        <v>220000</v>
      </c>
      <c r="H21" s="6" t="s">
        <v>1778</v>
      </c>
      <c r="I21" s="6" t="s">
        <v>65</v>
      </c>
      <c r="J21" s="6" t="s">
        <v>1275</v>
      </c>
      <c r="K21" s="6" t="s">
        <v>1069</v>
      </c>
      <c r="L21" s="6" t="s">
        <v>1779</v>
      </c>
    </row>
    <row r="22" spans="1:12" ht="41.4">
      <c r="A22" s="6" t="s">
        <v>193</v>
      </c>
      <c r="B22" s="51" t="s">
        <v>1773</v>
      </c>
      <c r="C22" s="6" t="s">
        <v>1780</v>
      </c>
      <c r="D22" s="6" t="s">
        <v>20</v>
      </c>
      <c r="E22" s="41">
        <v>1</v>
      </c>
      <c r="F22" s="42">
        <v>350000</v>
      </c>
      <c r="G22" s="42">
        <f t="shared" si="0"/>
        <v>350000</v>
      </c>
      <c r="H22" s="6" t="s">
        <v>1498</v>
      </c>
      <c r="I22" s="6" t="s">
        <v>1781</v>
      </c>
      <c r="J22" s="6" t="s">
        <v>1275</v>
      </c>
      <c r="K22" s="6" t="s">
        <v>657</v>
      </c>
      <c r="L22" s="6" t="s">
        <v>1782</v>
      </c>
    </row>
    <row r="23" spans="1:12" ht="55.2">
      <c r="A23" s="6" t="s">
        <v>198</v>
      </c>
      <c r="B23" s="51" t="s">
        <v>1773</v>
      </c>
      <c r="C23" s="6" t="s">
        <v>1783</v>
      </c>
      <c r="D23" s="6" t="s">
        <v>20</v>
      </c>
      <c r="E23" s="41">
        <v>1</v>
      </c>
      <c r="F23" s="42">
        <v>500000</v>
      </c>
      <c r="G23" s="42">
        <f t="shared" si="0"/>
        <v>500000</v>
      </c>
      <c r="H23" s="6" t="s">
        <v>1039</v>
      </c>
      <c r="I23" s="6" t="s">
        <v>1784</v>
      </c>
      <c r="J23" s="6" t="s">
        <v>1785</v>
      </c>
      <c r="K23" s="6" t="s">
        <v>657</v>
      </c>
      <c r="L23" s="6" t="s">
        <v>1786</v>
      </c>
    </row>
    <row r="24" spans="1:12" ht="41.4">
      <c r="A24" s="6" t="s">
        <v>215</v>
      </c>
      <c r="B24" s="51" t="s">
        <v>1787</v>
      </c>
      <c r="C24" s="6" t="s">
        <v>1788</v>
      </c>
      <c r="D24" s="6" t="s">
        <v>20</v>
      </c>
      <c r="E24" s="41">
        <v>1</v>
      </c>
      <c r="F24" s="42">
        <v>250000</v>
      </c>
      <c r="G24" s="42">
        <f t="shared" si="0"/>
        <v>250000</v>
      </c>
      <c r="H24" s="6" t="s">
        <v>1088</v>
      </c>
      <c r="I24" s="6" t="s">
        <v>1789</v>
      </c>
      <c r="J24" s="6" t="s">
        <v>1581</v>
      </c>
      <c r="K24" s="6" t="s">
        <v>657</v>
      </c>
      <c r="L24" s="6" t="s">
        <v>1790</v>
      </c>
    </row>
    <row r="25" spans="1:12" ht="41.4">
      <c r="A25" s="6" t="s">
        <v>271</v>
      </c>
      <c r="B25" s="51" t="s">
        <v>1341</v>
      </c>
      <c r="C25" s="6" t="s">
        <v>1791</v>
      </c>
      <c r="D25" s="6" t="s">
        <v>20</v>
      </c>
      <c r="E25" s="41">
        <v>1</v>
      </c>
      <c r="F25" s="42">
        <v>450000</v>
      </c>
      <c r="G25" s="42">
        <f t="shared" si="0"/>
        <v>450000</v>
      </c>
      <c r="H25" s="6" t="s">
        <v>1584</v>
      </c>
      <c r="I25" s="6" t="s">
        <v>1792</v>
      </c>
      <c r="J25" s="6" t="s">
        <v>1275</v>
      </c>
      <c r="K25" s="6" t="s">
        <v>657</v>
      </c>
      <c r="L25" s="6" t="s">
        <v>1793</v>
      </c>
    </row>
    <row r="26" spans="1:12" ht="27.6">
      <c r="A26" s="6" t="s">
        <v>276</v>
      </c>
      <c r="B26" s="51" t="s">
        <v>1341</v>
      </c>
      <c r="C26" s="6" t="s">
        <v>1794</v>
      </c>
      <c r="D26" s="6" t="s">
        <v>20</v>
      </c>
      <c r="E26" s="41">
        <v>1</v>
      </c>
      <c r="F26" s="42">
        <v>300000</v>
      </c>
      <c r="G26" s="42">
        <f t="shared" si="0"/>
        <v>300000</v>
      </c>
      <c r="H26" s="6" t="s">
        <v>1273</v>
      </c>
      <c r="I26" s="6" t="s">
        <v>1795</v>
      </c>
      <c r="J26" s="6" t="s">
        <v>1275</v>
      </c>
      <c r="K26" s="6" t="s">
        <v>657</v>
      </c>
      <c r="L26" s="6" t="s">
        <v>1796</v>
      </c>
    </row>
    <row r="27" spans="1:12" ht="41.4">
      <c r="A27" s="6" t="s">
        <v>277</v>
      </c>
      <c r="B27" s="51" t="s">
        <v>1341</v>
      </c>
      <c r="C27" s="6" t="s">
        <v>1797</v>
      </c>
      <c r="D27" s="6" t="s">
        <v>20</v>
      </c>
      <c r="E27" s="41">
        <v>1</v>
      </c>
      <c r="F27" s="42">
        <v>250000</v>
      </c>
      <c r="G27" s="42">
        <f t="shared" si="0"/>
        <v>250000</v>
      </c>
      <c r="H27" s="6" t="s">
        <v>1588</v>
      </c>
      <c r="I27" s="6" t="s">
        <v>1589</v>
      </c>
      <c r="J27" s="6" t="s">
        <v>1275</v>
      </c>
      <c r="K27" s="6" t="s">
        <v>657</v>
      </c>
      <c r="L27" s="6" t="s">
        <v>1798</v>
      </c>
    </row>
    <row r="28" spans="1:12">
      <c r="A28" s="6"/>
      <c r="B28" s="6"/>
      <c r="C28" s="6"/>
      <c r="D28" s="6"/>
      <c r="E28" s="6"/>
      <c r="F28" s="6"/>
      <c r="G28" s="6"/>
      <c r="H28" s="6"/>
      <c r="I28" s="6"/>
      <c r="J28" s="6"/>
      <c r="K28" s="6"/>
      <c r="L28" s="6"/>
    </row>
    <row r="29" spans="1:12">
      <c r="A29" s="6"/>
      <c r="B29" s="6"/>
      <c r="C29" s="6"/>
      <c r="D29" s="6"/>
      <c r="E29" s="6"/>
      <c r="F29" s="6"/>
      <c r="G29" s="6"/>
      <c r="H29" s="6"/>
      <c r="I29" s="6"/>
      <c r="J29" s="6"/>
      <c r="K29" s="6"/>
      <c r="L29" s="6"/>
    </row>
    <row r="30" spans="1:12">
      <c r="A30" s="6"/>
      <c r="B30" s="6"/>
      <c r="C30" s="6"/>
      <c r="D30" s="6"/>
      <c r="E30" s="6"/>
      <c r="F30" s="9" t="s">
        <v>1115</v>
      </c>
      <c r="G30" s="43">
        <f>SUM(G5:G27)</f>
        <v>5632000</v>
      </c>
      <c r="H30" s="6"/>
      <c r="I30" s="6"/>
      <c r="J30" s="6"/>
      <c r="K30" s="6"/>
      <c r="L30" s="6"/>
    </row>
    <row r="31" spans="1:12" ht="41.4">
      <c r="A31" s="6"/>
      <c r="B31" s="6"/>
      <c r="C31" s="6"/>
      <c r="D31" s="6"/>
      <c r="E31" s="6"/>
      <c r="F31" s="9" t="s">
        <v>1116</v>
      </c>
      <c r="G31" s="44">
        <v>0.1</v>
      </c>
      <c r="H31" s="6"/>
      <c r="I31" s="6"/>
      <c r="J31" s="6"/>
      <c r="K31" s="6"/>
      <c r="L31" s="6"/>
    </row>
    <row r="32" spans="1:12" ht="27.6">
      <c r="A32" s="6"/>
      <c r="B32" s="6"/>
      <c r="C32" s="6"/>
      <c r="D32" s="6"/>
      <c r="E32" s="6"/>
      <c r="F32" s="9" t="s">
        <v>1117</v>
      </c>
      <c r="G32" s="43">
        <f>G30*G31</f>
        <v>563200</v>
      </c>
      <c r="H32" s="6"/>
      <c r="I32" s="6"/>
      <c r="J32" s="6"/>
      <c r="K32" s="6"/>
      <c r="L32" s="6"/>
    </row>
    <row r="33" spans="1:12" ht="41.4">
      <c r="A33" s="6"/>
      <c r="B33" s="6"/>
      <c r="C33" s="6"/>
      <c r="D33" s="6"/>
      <c r="E33" s="6"/>
      <c r="F33" s="9" t="s">
        <v>1118</v>
      </c>
      <c r="G33" s="43">
        <f>G30+G32</f>
        <v>6195200</v>
      </c>
      <c r="H33" s="6"/>
      <c r="I33" s="6"/>
      <c r="J33" s="6"/>
      <c r="K33" s="6"/>
      <c r="L33" s="6"/>
    </row>
    <row r="34" spans="1:12">
      <c r="A34" s="6"/>
      <c r="B34" s="6"/>
      <c r="C34" s="6"/>
      <c r="D34" s="6"/>
      <c r="E34" s="6"/>
      <c r="F34" s="6" t="s">
        <v>3</v>
      </c>
      <c r="G34" s="6" t="s">
        <v>1119</v>
      </c>
      <c r="H34" s="6"/>
      <c r="I34" s="6"/>
      <c r="J34" s="6"/>
      <c r="K34" s="6"/>
      <c r="L34" s="6"/>
    </row>
  </sheetData>
  <mergeCells count="2">
    <mergeCell ref="A1:L1"/>
    <mergeCell ref="A2:L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0"/>
  <sheetViews>
    <sheetView workbookViewId="0">
      <selection sqref="A1:H1"/>
    </sheetView>
  </sheetViews>
  <sheetFormatPr defaultRowHeight="13.8"/>
  <cols>
    <col min="1" max="1" width="33" customWidth="1"/>
    <col min="2" max="2" width="37" customWidth="1"/>
    <col min="3" max="3" width="35" customWidth="1"/>
    <col min="4" max="4" width="32" customWidth="1"/>
    <col min="5" max="5" width="36" customWidth="1"/>
    <col min="6" max="6" width="17" customWidth="1"/>
    <col min="7" max="7" width="21" customWidth="1"/>
    <col min="8" max="8" width="34" customWidth="1"/>
  </cols>
  <sheetData>
    <row r="1" spans="1:8" ht="17.399999999999999">
      <c r="A1" s="119" t="s">
        <v>1799</v>
      </c>
      <c r="B1" s="119"/>
      <c r="C1" s="119"/>
      <c r="D1" s="119"/>
      <c r="E1" s="119"/>
      <c r="F1" s="119"/>
      <c r="G1" s="119"/>
      <c r="H1" s="119"/>
    </row>
    <row r="2" spans="1:8">
      <c r="A2" s="2"/>
      <c r="B2" s="2"/>
      <c r="C2" s="2"/>
      <c r="D2" s="2"/>
      <c r="E2" s="2"/>
      <c r="F2" s="2"/>
      <c r="G2" s="2"/>
      <c r="H2" s="2"/>
    </row>
    <row r="3" spans="1:8">
      <c r="A3" s="14" t="s">
        <v>1121</v>
      </c>
      <c r="B3" s="14" t="s">
        <v>1353</v>
      </c>
      <c r="C3" s="14" t="s">
        <v>1800</v>
      </c>
      <c r="D3" s="14" t="s">
        <v>1125</v>
      </c>
      <c r="E3" s="14" t="s">
        <v>1355</v>
      </c>
      <c r="F3" s="14" t="s">
        <v>1356</v>
      </c>
      <c r="G3" s="14" t="s">
        <v>1357</v>
      </c>
      <c r="H3" s="14" t="s">
        <v>1358</v>
      </c>
    </row>
    <row r="4" spans="1:8" ht="41.4">
      <c r="A4" s="2" t="s">
        <v>1801</v>
      </c>
      <c r="B4" s="2" t="s">
        <v>1802</v>
      </c>
      <c r="C4" s="2" t="s">
        <v>1803</v>
      </c>
      <c r="D4" s="2" t="s">
        <v>1804</v>
      </c>
      <c r="E4" s="2" t="s">
        <v>1805</v>
      </c>
      <c r="F4" s="2" t="s">
        <v>1143</v>
      </c>
      <c r="G4" s="2" t="s">
        <v>1806</v>
      </c>
      <c r="H4" s="2" t="s">
        <v>1807</v>
      </c>
    </row>
    <row r="5" spans="1:8" ht="41.4">
      <c r="A5" s="2" t="s">
        <v>1808</v>
      </c>
      <c r="B5" s="2" t="s">
        <v>1601</v>
      </c>
      <c r="C5" s="2" t="s">
        <v>1809</v>
      </c>
      <c r="D5" s="2" t="s">
        <v>1810</v>
      </c>
      <c r="E5" s="2" t="s">
        <v>1811</v>
      </c>
      <c r="F5" s="2" t="s">
        <v>1143</v>
      </c>
      <c r="G5" s="2" t="s">
        <v>1812</v>
      </c>
      <c r="H5" s="2" t="s">
        <v>1813</v>
      </c>
    </row>
    <row r="6" spans="1:8" ht="27.6">
      <c r="A6" s="2" t="s">
        <v>1607</v>
      </c>
      <c r="B6" s="2" t="s">
        <v>1608</v>
      </c>
      <c r="C6" s="2" t="s">
        <v>1814</v>
      </c>
      <c r="D6" s="2" t="s">
        <v>1815</v>
      </c>
      <c r="E6" s="2" t="s">
        <v>1816</v>
      </c>
      <c r="F6" s="2" t="s">
        <v>1143</v>
      </c>
      <c r="G6" s="2" t="s">
        <v>1812</v>
      </c>
      <c r="H6" s="2" t="s">
        <v>1817</v>
      </c>
    </row>
    <row r="7" spans="1:8" ht="27.6">
      <c r="A7" s="2" t="s">
        <v>1818</v>
      </c>
      <c r="B7" s="2" t="s">
        <v>1615</v>
      </c>
      <c r="C7" s="2" t="s">
        <v>1819</v>
      </c>
      <c r="D7" s="2" t="s">
        <v>1820</v>
      </c>
      <c r="E7" s="2" t="s">
        <v>1821</v>
      </c>
      <c r="F7" s="2" t="s">
        <v>1143</v>
      </c>
      <c r="G7" s="2" t="s">
        <v>1619</v>
      </c>
      <c r="H7" s="2" t="s">
        <v>1822</v>
      </c>
    </row>
    <row r="8" spans="1:8" ht="27.6">
      <c r="A8" s="2" t="s">
        <v>1823</v>
      </c>
      <c r="B8" s="2" t="s">
        <v>1824</v>
      </c>
      <c r="C8" s="2" t="s">
        <v>1132</v>
      </c>
      <c r="D8" s="2" t="s">
        <v>1825</v>
      </c>
      <c r="E8" s="2" t="s">
        <v>1826</v>
      </c>
      <c r="F8" s="2" t="s">
        <v>1189</v>
      </c>
      <c r="G8" s="2" t="s">
        <v>1413</v>
      </c>
      <c r="H8" s="2" t="s">
        <v>1827</v>
      </c>
    </row>
    <row r="9" spans="1:8" ht="41.4">
      <c r="A9" s="2" t="s">
        <v>1828</v>
      </c>
      <c r="B9" s="2" t="s">
        <v>1829</v>
      </c>
      <c r="C9" s="2" t="s">
        <v>1132</v>
      </c>
      <c r="D9" s="2" t="s">
        <v>1830</v>
      </c>
      <c r="E9" s="2" t="s">
        <v>1831</v>
      </c>
      <c r="F9" s="2" t="s">
        <v>1143</v>
      </c>
      <c r="G9" s="2" t="s">
        <v>1413</v>
      </c>
      <c r="H9" s="2" t="s">
        <v>1832</v>
      </c>
    </row>
    <row r="10" spans="1:8" ht="27.6">
      <c r="A10" s="2" t="s">
        <v>1833</v>
      </c>
      <c r="B10" s="2" t="s">
        <v>1834</v>
      </c>
      <c r="C10" s="2" t="s">
        <v>1132</v>
      </c>
      <c r="D10" s="2" t="s">
        <v>1835</v>
      </c>
      <c r="E10" s="2" t="s">
        <v>1836</v>
      </c>
      <c r="F10" s="2" t="s">
        <v>1182</v>
      </c>
      <c r="G10" s="2" t="s">
        <v>1413</v>
      </c>
      <c r="H10" s="2" t="s">
        <v>1837</v>
      </c>
    </row>
    <row r="11" spans="1:8" ht="41.4">
      <c r="A11" s="2" t="s">
        <v>1838</v>
      </c>
      <c r="B11" s="2" t="s">
        <v>1839</v>
      </c>
      <c r="C11" s="2" t="s">
        <v>1840</v>
      </c>
      <c r="D11" s="2" t="s">
        <v>1841</v>
      </c>
      <c r="E11" s="2" t="s">
        <v>1842</v>
      </c>
      <c r="F11" s="2" t="s">
        <v>1189</v>
      </c>
      <c r="G11" s="2" t="s">
        <v>1413</v>
      </c>
      <c r="H11" s="2" t="s">
        <v>1843</v>
      </c>
    </row>
    <row r="12" spans="1:8" ht="27.6">
      <c r="A12" s="2" t="s">
        <v>1844</v>
      </c>
      <c r="B12" s="2" t="s">
        <v>1845</v>
      </c>
      <c r="C12" s="2" t="s">
        <v>1417</v>
      </c>
      <c r="D12" s="2" t="s">
        <v>1846</v>
      </c>
      <c r="E12" s="2" t="s">
        <v>1847</v>
      </c>
      <c r="F12" s="2" t="s">
        <v>1189</v>
      </c>
      <c r="G12" s="2" t="s">
        <v>1413</v>
      </c>
      <c r="H12" s="2" t="s">
        <v>1848</v>
      </c>
    </row>
    <row r="13" spans="1:8" ht="27.6">
      <c r="A13" s="2" t="s">
        <v>1849</v>
      </c>
      <c r="B13" s="2" t="s">
        <v>1850</v>
      </c>
      <c r="C13" s="2" t="s">
        <v>1417</v>
      </c>
      <c r="D13" s="2" t="s">
        <v>1851</v>
      </c>
      <c r="E13" s="2" t="s">
        <v>588</v>
      </c>
      <c r="F13" s="2" t="s">
        <v>1189</v>
      </c>
      <c r="G13" s="2" t="s">
        <v>1413</v>
      </c>
      <c r="H13" s="2" t="s">
        <v>1852</v>
      </c>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sheetData>
  <mergeCells count="1">
    <mergeCell ref="A1:H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8"/>
  <sheetViews>
    <sheetView workbookViewId="0">
      <selection sqref="A1:J1"/>
    </sheetView>
  </sheetViews>
  <sheetFormatPr defaultRowHeight="13.8"/>
  <cols>
    <col min="1" max="1" width="10" customWidth="1"/>
    <col min="2" max="2" width="34" customWidth="1"/>
    <col min="3" max="3" width="10" customWidth="1"/>
    <col min="4" max="4" width="18" customWidth="1"/>
    <col min="5" max="5" width="30" customWidth="1"/>
    <col min="6" max="6" width="43" customWidth="1"/>
    <col min="7" max="7" width="38" customWidth="1"/>
    <col min="8" max="8" width="18" customWidth="1"/>
    <col min="9" max="9" width="16" customWidth="1"/>
    <col min="10" max="10" width="41" customWidth="1"/>
  </cols>
  <sheetData>
    <row r="1" spans="1:10" ht="17.399999999999999">
      <c r="A1" s="119" t="s">
        <v>1853</v>
      </c>
      <c r="B1" s="119"/>
      <c r="C1" s="119"/>
      <c r="D1" s="119"/>
      <c r="E1" s="119"/>
      <c r="F1" s="119"/>
      <c r="G1" s="119"/>
      <c r="H1" s="119"/>
      <c r="I1" s="119"/>
      <c r="J1" s="119"/>
    </row>
    <row r="2" spans="1:10">
      <c r="A2" s="2"/>
      <c r="B2" s="2"/>
      <c r="C2" s="2"/>
      <c r="D2" s="2"/>
      <c r="E2" s="2"/>
      <c r="F2" s="2"/>
      <c r="G2" s="2"/>
      <c r="H2" s="2"/>
      <c r="I2" s="2"/>
      <c r="J2" s="2"/>
    </row>
    <row r="3" spans="1:10">
      <c r="A3" s="14" t="s">
        <v>367</v>
      </c>
      <c r="B3" s="14" t="s">
        <v>1197</v>
      </c>
      <c r="C3" s="14" t="s">
        <v>8</v>
      </c>
      <c r="D3" s="14" t="s">
        <v>504</v>
      </c>
      <c r="E3" s="14" t="s">
        <v>12</v>
      </c>
      <c r="F3" s="14" t="s">
        <v>1422</v>
      </c>
      <c r="G3" s="14" t="s">
        <v>1654</v>
      </c>
      <c r="H3" s="14" t="s">
        <v>1199</v>
      </c>
      <c r="I3" s="14" t="s">
        <v>1200</v>
      </c>
      <c r="J3" s="14" t="s">
        <v>507</v>
      </c>
    </row>
    <row r="4" spans="1:10" ht="41.4">
      <c r="A4" s="2" t="s">
        <v>1854</v>
      </c>
      <c r="B4" s="2" t="s">
        <v>1855</v>
      </c>
      <c r="C4" s="2" t="s">
        <v>103</v>
      </c>
      <c r="D4" s="2">
        <v>1800</v>
      </c>
      <c r="E4" s="2" t="s">
        <v>1856</v>
      </c>
      <c r="F4" s="2" t="s">
        <v>1857</v>
      </c>
      <c r="G4" s="2" t="s">
        <v>510</v>
      </c>
      <c r="H4" s="2" t="s">
        <v>1241</v>
      </c>
      <c r="I4" s="2" t="s">
        <v>1189</v>
      </c>
      <c r="J4" s="2" t="s">
        <v>1858</v>
      </c>
    </row>
    <row r="5" spans="1:10" ht="41.4">
      <c r="A5" s="2" t="s">
        <v>1859</v>
      </c>
      <c r="B5" s="2" t="s">
        <v>1860</v>
      </c>
      <c r="C5" s="2" t="s">
        <v>103</v>
      </c>
      <c r="D5" s="2">
        <v>2400</v>
      </c>
      <c r="E5" s="2" t="s">
        <v>1665</v>
      </c>
      <c r="F5" s="2" t="s">
        <v>1861</v>
      </c>
      <c r="G5" s="2" t="s">
        <v>510</v>
      </c>
      <c r="H5" s="2" t="s">
        <v>1212</v>
      </c>
      <c r="I5" s="2" t="s">
        <v>1206</v>
      </c>
      <c r="J5" s="2" t="s">
        <v>1862</v>
      </c>
    </row>
    <row r="6" spans="1:10" ht="27.6">
      <c r="A6" s="2" t="s">
        <v>1863</v>
      </c>
      <c r="B6" s="2" t="s">
        <v>1864</v>
      </c>
      <c r="C6" s="2" t="s">
        <v>103</v>
      </c>
      <c r="D6" s="2">
        <v>3000</v>
      </c>
      <c r="E6" s="2" t="s">
        <v>1657</v>
      </c>
      <c r="F6" s="2" t="s">
        <v>1865</v>
      </c>
      <c r="G6" s="2" t="s">
        <v>510</v>
      </c>
      <c r="H6" s="2" t="s">
        <v>1241</v>
      </c>
      <c r="I6" s="2" t="s">
        <v>1189</v>
      </c>
      <c r="J6" s="2" t="s">
        <v>1866</v>
      </c>
    </row>
    <row r="7" spans="1:10" ht="27.6">
      <c r="A7" s="2" t="s">
        <v>1867</v>
      </c>
      <c r="B7" s="2" t="s">
        <v>1868</v>
      </c>
      <c r="C7" s="2" t="s">
        <v>103</v>
      </c>
      <c r="D7" s="2">
        <v>3100</v>
      </c>
      <c r="E7" s="2" t="s">
        <v>1657</v>
      </c>
      <c r="F7" s="2" t="s">
        <v>1869</v>
      </c>
      <c r="G7" s="2" t="s">
        <v>510</v>
      </c>
      <c r="H7" s="2" t="s">
        <v>753</v>
      </c>
      <c r="I7" s="2" t="s">
        <v>1151</v>
      </c>
      <c r="J7" s="2" t="s">
        <v>1870</v>
      </c>
    </row>
    <row r="8" spans="1:10" ht="27.6">
      <c r="A8" s="2" t="s">
        <v>1871</v>
      </c>
      <c r="B8" s="2" t="s">
        <v>1872</v>
      </c>
      <c r="C8" s="2" t="s">
        <v>753</v>
      </c>
      <c r="D8" s="2">
        <v>6500</v>
      </c>
      <c r="E8" s="2" t="s">
        <v>1657</v>
      </c>
      <c r="F8" s="2" t="s">
        <v>1873</v>
      </c>
      <c r="G8" s="2" t="s">
        <v>510</v>
      </c>
      <c r="H8" s="2" t="s">
        <v>753</v>
      </c>
      <c r="I8" s="2" t="s">
        <v>1143</v>
      </c>
      <c r="J8" s="2"/>
    </row>
    <row r="9" spans="1:10" ht="41.4">
      <c r="A9" s="2" t="s">
        <v>1874</v>
      </c>
      <c r="B9" s="2" t="s">
        <v>1875</v>
      </c>
      <c r="C9" s="2" t="s">
        <v>753</v>
      </c>
      <c r="D9" s="2">
        <v>55000</v>
      </c>
      <c r="E9" s="2" t="s">
        <v>1657</v>
      </c>
      <c r="F9" s="2" t="s">
        <v>1876</v>
      </c>
      <c r="G9" s="2" t="s">
        <v>510</v>
      </c>
      <c r="H9" s="2" t="s">
        <v>753</v>
      </c>
      <c r="I9" s="2" t="s">
        <v>1143</v>
      </c>
      <c r="J9" s="2" t="s">
        <v>1877</v>
      </c>
    </row>
    <row r="10" spans="1:10" ht="27.6">
      <c r="A10" s="2" t="s">
        <v>1878</v>
      </c>
      <c r="B10" s="2" t="s">
        <v>1879</v>
      </c>
      <c r="C10" s="2" t="s">
        <v>753</v>
      </c>
      <c r="D10" s="2">
        <v>45000</v>
      </c>
      <c r="E10" s="2" t="s">
        <v>1751</v>
      </c>
      <c r="F10" s="2" t="s">
        <v>1880</v>
      </c>
      <c r="G10" s="2" t="s">
        <v>1692</v>
      </c>
      <c r="H10" s="2" t="s">
        <v>1212</v>
      </c>
      <c r="I10" s="2" t="s">
        <v>1206</v>
      </c>
      <c r="J10" s="2" t="s">
        <v>1881</v>
      </c>
    </row>
    <row r="11" spans="1:10" ht="27.6">
      <c r="A11" s="2" t="s">
        <v>1882</v>
      </c>
      <c r="B11" s="2" t="s">
        <v>1883</v>
      </c>
      <c r="C11" s="2" t="s">
        <v>753</v>
      </c>
      <c r="D11" s="2">
        <v>180000</v>
      </c>
      <c r="E11" s="2" t="s">
        <v>1050</v>
      </c>
      <c r="F11" s="2" t="s">
        <v>1884</v>
      </c>
      <c r="G11" s="2" t="s">
        <v>1705</v>
      </c>
      <c r="H11" s="2" t="s">
        <v>1212</v>
      </c>
      <c r="I11" s="2" t="s">
        <v>1182</v>
      </c>
      <c r="J11" s="2" t="s">
        <v>1885</v>
      </c>
    </row>
    <row r="12" spans="1:10" ht="55.2">
      <c r="A12" s="2" t="s">
        <v>1886</v>
      </c>
      <c r="B12" s="2" t="s">
        <v>1887</v>
      </c>
      <c r="C12" s="2" t="s">
        <v>753</v>
      </c>
      <c r="D12" s="2">
        <v>15000</v>
      </c>
      <c r="E12" s="2" t="s">
        <v>1888</v>
      </c>
      <c r="F12" s="2" t="s">
        <v>1889</v>
      </c>
      <c r="G12" s="2" t="s">
        <v>510</v>
      </c>
      <c r="H12" s="2" t="s">
        <v>1241</v>
      </c>
      <c r="I12" s="2" t="s">
        <v>1189</v>
      </c>
      <c r="J12" s="2" t="s">
        <v>1890</v>
      </c>
    </row>
    <row r="13" spans="1:10">
      <c r="A13" s="2"/>
      <c r="B13" s="2"/>
      <c r="C13" s="2"/>
      <c r="D13" s="2"/>
      <c r="E13" s="2"/>
      <c r="F13" s="2"/>
      <c r="G13" s="2"/>
      <c r="H13" s="2"/>
      <c r="I13" s="2"/>
      <c r="J13" s="2"/>
    </row>
    <row r="14" spans="1:10">
      <c r="A14" s="2"/>
      <c r="B14" s="2"/>
      <c r="C14" s="2"/>
      <c r="D14" s="2"/>
      <c r="E14" s="2"/>
      <c r="F14" s="2"/>
      <c r="G14" s="2"/>
      <c r="H14" s="2"/>
      <c r="I14" s="2"/>
      <c r="J14" s="2"/>
    </row>
    <row r="15" spans="1:10" ht="69">
      <c r="A15" s="2" t="s">
        <v>1482</v>
      </c>
      <c r="B15" s="2"/>
      <c r="C15" s="2"/>
      <c r="D15" s="2"/>
      <c r="E15" s="2"/>
      <c r="F15" s="2"/>
      <c r="G15" s="2"/>
      <c r="H15" s="2"/>
      <c r="I15" s="2"/>
      <c r="J15" s="2"/>
    </row>
    <row r="16" spans="1:10" ht="110.4">
      <c r="A16" s="2" t="s">
        <v>488</v>
      </c>
      <c r="B16" s="2" t="s">
        <v>1891</v>
      </c>
      <c r="C16" s="2"/>
      <c r="D16" s="2"/>
      <c r="E16" s="2"/>
      <c r="F16" s="2"/>
      <c r="G16" s="2"/>
      <c r="H16" s="2"/>
      <c r="I16" s="2"/>
      <c r="J16" s="2"/>
    </row>
    <row r="17" spans="1:10" ht="96.6">
      <c r="A17" s="2" t="s">
        <v>490</v>
      </c>
      <c r="B17" s="2" t="s">
        <v>1892</v>
      </c>
      <c r="C17" s="2"/>
      <c r="D17" s="2"/>
      <c r="E17" s="2"/>
      <c r="F17" s="2"/>
      <c r="G17" s="2"/>
      <c r="H17" s="2"/>
      <c r="I17" s="2"/>
      <c r="J17" s="2"/>
    </row>
    <row r="18" spans="1:10" ht="69">
      <c r="A18" s="2" t="s">
        <v>492</v>
      </c>
      <c r="B18" s="2" t="s">
        <v>1893</v>
      </c>
      <c r="C18" s="2"/>
      <c r="D18" s="2"/>
      <c r="E18" s="2"/>
      <c r="F18" s="2"/>
      <c r="G18" s="2"/>
      <c r="H18" s="2"/>
      <c r="I18" s="2"/>
      <c r="J18" s="2"/>
    </row>
    <row r="19" spans="1:10" ht="55.2">
      <c r="A19" s="2" t="s">
        <v>494</v>
      </c>
      <c r="B19" s="2" t="s">
        <v>1894</v>
      </c>
      <c r="C19" s="2"/>
      <c r="D19" s="2"/>
      <c r="E19" s="2"/>
      <c r="F19" s="2"/>
      <c r="G19" s="2"/>
      <c r="H19" s="2"/>
      <c r="I19" s="2"/>
      <c r="J19" s="2"/>
    </row>
    <row r="20" spans="1:10" ht="82.8">
      <c r="A20" s="2" t="s">
        <v>496</v>
      </c>
      <c r="B20" s="2" t="s">
        <v>1895</v>
      </c>
      <c r="C20" s="2"/>
      <c r="D20" s="2"/>
      <c r="E20" s="2"/>
      <c r="F20" s="2"/>
      <c r="G20" s="2"/>
      <c r="H20" s="2"/>
      <c r="I20" s="2"/>
      <c r="J20" s="2"/>
    </row>
    <row r="21" spans="1:10" ht="82.8">
      <c r="A21" s="2" t="s">
        <v>498</v>
      </c>
      <c r="B21" s="2" t="s">
        <v>1896</v>
      </c>
      <c r="C21" s="2"/>
      <c r="D21" s="2"/>
      <c r="E21" s="2"/>
      <c r="F21" s="2"/>
      <c r="G21" s="2"/>
      <c r="H21" s="2"/>
      <c r="I21" s="2"/>
      <c r="J21" s="2"/>
    </row>
    <row r="22" spans="1:10" ht="41.4">
      <c r="A22" s="2" t="s">
        <v>1489</v>
      </c>
      <c r="B22" s="2" t="s">
        <v>1897</v>
      </c>
      <c r="C22" s="2"/>
      <c r="D22" s="2"/>
      <c r="E22" s="2"/>
      <c r="F22" s="2"/>
      <c r="G22" s="2"/>
      <c r="H22" s="2"/>
      <c r="I22" s="2"/>
      <c r="J22" s="2"/>
    </row>
    <row r="23" spans="1:10" ht="69">
      <c r="A23" s="2" t="s">
        <v>1714</v>
      </c>
      <c r="B23" s="2" t="s">
        <v>1898</v>
      </c>
      <c r="C23" s="2"/>
      <c r="D23" s="2"/>
      <c r="E23" s="2"/>
      <c r="F23" s="2"/>
      <c r="G23" s="2"/>
      <c r="H23" s="2"/>
      <c r="I23" s="2"/>
      <c r="J23" s="2"/>
    </row>
    <row r="24" spans="1:10" ht="55.2">
      <c r="A24" s="2" t="s">
        <v>1899</v>
      </c>
      <c r="B24" s="2" t="s">
        <v>1900</v>
      </c>
      <c r="C24" s="2"/>
      <c r="D24" s="2"/>
      <c r="E24" s="2"/>
      <c r="F24" s="2"/>
      <c r="G24" s="2"/>
      <c r="H24" s="2"/>
      <c r="I24" s="2"/>
      <c r="J24" s="2"/>
    </row>
    <row r="25" spans="1:10">
      <c r="A25" s="2"/>
      <c r="B25" s="2"/>
      <c r="C25" s="2"/>
      <c r="D25" s="2"/>
      <c r="E25" s="2"/>
      <c r="F25" s="2"/>
      <c r="G25" s="2"/>
      <c r="H25" s="2"/>
      <c r="I25" s="2"/>
      <c r="J25" s="2"/>
    </row>
    <row r="26" spans="1:10">
      <c r="A26" s="2"/>
      <c r="B26" s="2"/>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sheetData>
  <mergeCells count="1">
    <mergeCell ref="A1:J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4"/>
  <sheetViews>
    <sheetView workbookViewId="0">
      <selection activeCell="C24" sqref="C24"/>
    </sheetView>
  </sheetViews>
  <sheetFormatPr defaultColWidth="8.69921875" defaultRowHeight="13.8"/>
  <cols>
    <col min="1" max="1" width="9" style="8" customWidth="1"/>
    <col min="2" max="2" width="31" style="8" customWidth="1"/>
    <col min="3" max="3" width="66" style="8" customWidth="1"/>
    <col min="4" max="4" width="8" style="8" customWidth="1"/>
    <col min="5" max="5" width="9" style="8" customWidth="1"/>
    <col min="6" max="6" width="14" style="8" customWidth="1"/>
    <col min="7" max="7" width="16" style="8" customWidth="1"/>
    <col min="8" max="8" width="31" style="8" customWidth="1"/>
    <col min="9" max="9" width="32" style="8" customWidth="1"/>
    <col min="10" max="10" width="31" style="8" customWidth="1"/>
    <col min="11" max="11" width="16" style="8" customWidth="1"/>
    <col min="12" max="12" width="36" style="8" customWidth="1"/>
    <col min="13" max="16384" width="8.69921875" style="8"/>
  </cols>
  <sheetData>
    <row r="1" spans="1:12" ht="17.399999999999999">
      <c r="A1" s="120" t="s">
        <v>1901</v>
      </c>
      <c r="B1" s="120"/>
      <c r="C1" s="120"/>
      <c r="D1" s="120"/>
      <c r="E1" s="120"/>
      <c r="F1" s="120"/>
      <c r="G1" s="120"/>
      <c r="H1" s="120"/>
      <c r="I1" s="120"/>
      <c r="J1" s="120"/>
      <c r="K1" s="120"/>
      <c r="L1" s="120"/>
    </row>
    <row r="2" spans="1:12" ht="14.4">
      <c r="A2" s="121" t="s">
        <v>1902</v>
      </c>
      <c r="B2" s="121"/>
      <c r="C2" s="121"/>
      <c r="D2" s="121"/>
      <c r="E2" s="121"/>
      <c r="F2" s="121"/>
      <c r="G2" s="121"/>
      <c r="H2" s="121"/>
      <c r="I2" s="121"/>
      <c r="J2" s="121"/>
      <c r="K2" s="121"/>
      <c r="L2" s="121"/>
    </row>
    <row r="4" spans="1:12">
      <c r="A4" s="52" t="s">
        <v>619</v>
      </c>
      <c r="B4" s="52" t="s">
        <v>5</v>
      </c>
      <c r="C4" s="52" t="s">
        <v>1020</v>
      </c>
      <c r="D4" s="52" t="s">
        <v>8</v>
      </c>
      <c r="E4" s="52" t="s">
        <v>9</v>
      </c>
      <c r="F4" s="52" t="s">
        <v>10</v>
      </c>
      <c r="G4" s="52" t="s">
        <v>11</v>
      </c>
      <c r="H4" s="52" t="s">
        <v>1021</v>
      </c>
      <c r="I4" s="52" t="s">
        <v>371</v>
      </c>
      <c r="J4" s="52" t="s">
        <v>1022</v>
      </c>
      <c r="K4" s="52" t="s">
        <v>4</v>
      </c>
      <c r="L4" s="52" t="s">
        <v>623</v>
      </c>
    </row>
    <row r="5" spans="1:12" ht="92.55" customHeight="1">
      <c r="A5" s="6" t="s">
        <v>18</v>
      </c>
      <c r="B5" s="53" t="s">
        <v>1903</v>
      </c>
      <c r="C5" s="6" t="s">
        <v>1904</v>
      </c>
      <c r="D5" s="6" t="s">
        <v>20</v>
      </c>
      <c r="E5" s="41">
        <v>1</v>
      </c>
      <c r="F5" s="42">
        <v>450000</v>
      </c>
      <c r="G5" s="42">
        <f t="shared" ref="G5:G21" si="0">E5*F5</f>
        <v>450000</v>
      </c>
      <c r="H5" s="6" t="s">
        <v>1905</v>
      </c>
      <c r="I5" s="6" t="s">
        <v>1906</v>
      </c>
      <c r="J5" s="6" t="s">
        <v>1275</v>
      </c>
      <c r="K5" s="6" t="s">
        <v>657</v>
      </c>
      <c r="L5" s="6" t="s">
        <v>1907</v>
      </c>
    </row>
    <row r="6" spans="1:12" ht="55.2">
      <c r="A6" s="6" t="s">
        <v>63</v>
      </c>
      <c r="B6" s="53" t="s">
        <v>1908</v>
      </c>
      <c r="C6" s="6" t="s">
        <v>1909</v>
      </c>
      <c r="D6" s="6" t="s">
        <v>46</v>
      </c>
      <c r="E6" s="41">
        <v>40</v>
      </c>
      <c r="F6" s="42">
        <v>3500</v>
      </c>
      <c r="G6" s="42">
        <f t="shared" si="0"/>
        <v>140000</v>
      </c>
      <c r="H6" s="6" t="s">
        <v>1910</v>
      </c>
      <c r="I6" s="6" t="s">
        <v>1911</v>
      </c>
      <c r="J6" s="6" t="s">
        <v>1912</v>
      </c>
      <c r="K6" s="6" t="s">
        <v>1069</v>
      </c>
      <c r="L6" s="6" t="s">
        <v>1913</v>
      </c>
    </row>
    <row r="7" spans="1:12" s="38" customFormat="1" ht="69">
      <c r="A7" s="37" t="s">
        <v>69</v>
      </c>
      <c r="B7" s="37" t="s">
        <v>1908</v>
      </c>
      <c r="C7" s="37" t="s">
        <v>1914</v>
      </c>
      <c r="D7" s="37" t="s">
        <v>46</v>
      </c>
      <c r="E7" s="45">
        <v>40</v>
      </c>
      <c r="F7" s="46">
        <v>4500</v>
      </c>
      <c r="G7" s="46">
        <f t="shared" si="0"/>
        <v>180000</v>
      </c>
      <c r="H7" s="37" t="s">
        <v>1915</v>
      </c>
      <c r="I7" s="37" t="s">
        <v>1916</v>
      </c>
      <c r="J7" s="37" t="s">
        <v>1917</v>
      </c>
      <c r="K7" s="37" t="s">
        <v>1069</v>
      </c>
      <c r="L7" s="37" t="s">
        <v>1918</v>
      </c>
    </row>
    <row r="8" spans="1:12" ht="66.45" customHeight="1">
      <c r="A8" s="6" t="s">
        <v>75</v>
      </c>
      <c r="B8" s="53" t="s">
        <v>1908</v>
      </c>
      <c r="C8" s="6" t="s">
        <v>1919</v>
      </c>
      <c r="D8" s="6" t="s">
        <v>103</v>
      </c>
      <c r="E8" s="41">
        <v>20</v>
      </c>
      <c r="F8" s="42">
        <v>28000</v>
      </c>
      <c r="G8" s="42">
        <f t="shared" si="0"/>
        <v>560000</v>
      </c>
      <c r="H8" s="6" t="s">
        <v>1751</v>
      </c>
      <c r="I8" s="6" t="s">
        <v>1920</v>
      </c>
      <c r="J8" s="6" t="s">
        <v>1921</v>
      </c>
      <c r="K8" s="6" t="s">
        <v>1069</v>
      </c>
      <c r="L8" s="6" t="s">
        <v>1922</v>
      </c>
    </row>
    <row r="9" spans="1:12" ht="61.5" customHeight="1">
      <c r="A9" s="6" t="s">
        <v>78</v>
      </c>
      <c r="B9" s="53" t="s">
        <v>1908</v>
      </c>
      <c r="C9" s="6" t="s">
        <v>1923</v>
      </c>
      <c r="D9" s="6" t="s">
        <v>753</v>
      </c>
      <c r="E9" s="41">
        <v>2</v>
      </c>
      <c r="F9" s="42">
        <v>85000</v>
      </c>
      <c r="G9" s="42">
        <f t="shared" si="0"/>
        <v>170000</v>
      </c>
      <c r="H9" s="6" t="s">
        <v>1751</v>
      </c>
      <c r="I9" s="6" t="s">
        <v>1924</v>
      </c>
      <c r="J9" s="6" t="s">
        <v>1275</v>
      </c>
      <c r="K9" s="6" t="s">
        <v>657</v>
      </c>
      <c r="L9" s="6" t="s">
        <v>1925</v>
      </c>
    </row>
    <row r="10" spans="1:12" ht="55.2">
      <c r="A10" s="6" t="s">
        <v>84</v>
      </c>
      <c r="B10" s="53" t="s">
        <v>1908</v>
      </c>
      <c r="C10" s="6" t="s">
        <v>1926</v>
      </c>
      <c r="D10" s="6" t="s">
        <v>753</v>
      </c>
      <c r="E10" s="41">
        <v>2</v>
      </c>
      <c r="F10" s="42">
        <v>60000</v>
      </c>
      <c r="G10" s="42">
        <f t="shared" si="0"/>
        <v>120000</v>
      </c>
      <c r="H10" s="6" t="s">
        <v>1927</v>
      </c>
      <c r="I10" s="6" t="s">
        <v>1928</v>
      </c>
      <c r="J10" s="6" t="s">
        <v>1275</v>
      </c>
      <c r="K10" s="6" t="s">
        <v>657</v>
      </c>
      <c r="L10" s="6" t="s">
        <v>1929</v>
      </c>
    </row>
    <row r="11" spans="1:12" ht="78.45" customHeight="1">
      <c r="A11" s="6" t="s">
        <v>129</v>
      </c>
      <c r="B11" s="53" t="s">
        <v>1930</v>
      </c>
      <c r="C11" s="6" t="s">
        <v>1931</v>
      </c>
      <c r="D11" s="6" t="s">
        <v>103</v>
      </c>
      <c r="E11" s="41">
        <v>35</v>
      </c>
      <c r="F11" s="42">
        <v>15000</v>
      </c>
      <c r="G11" s="42">
        <f t="shared" si="0"/>
        <v>525000</v>
      </c>
      <c r="H11" s="6" t="s">
        <v>1932</v>
      </c>
      <c r="I11" s="6" t="s">
        <v>1933</v>
      </c>
      <c r="J11" s="6" t="s">
        <v>1934</v>
      </c>
      <c r="K11" s="6" t="s">
        <v>1069</v>
      </c>
      <c r="L11" s="6" t="s">
        <v>1935</v>
      </c>
    </row>
    <row r="12" spans="1:12" ht="69">
      <c r="A12" s="6" t="s">
        <v>134</v>
      </c>
      <c r="B12" s="53" t="s">
        <v>1930</v>
      </c>
      <c r="C12" s="6" t="s">
        <v>1936</v>
      </c>
      <c r="D12" s="6" t="s">
        <v>103</v>
      </c>
      <c r="E12" s="41">
        <v>35</v>
      </c>
      <c r="F12" s="42">
        <v>10000</v>
      </c>
      <c r="G12" s="42">
        <f t="shared" si="0"/>
        <v>350000</v>
      </c>
      <c r="H12" s="6" t="s">
        <v>1937</v>
      </c>
      <c r="I12" s="6" t="s">
        <v>1938</v>
      </c>
      <c r="J12" s="6" t="s">
        <v>1939</v>
      </c>
      <c r="K12" s="6" t="s">
        <v>1069</v>
      </c>
      <c r="L12" s="6" t="s">
        <v>1940</v>
      </c>
    </row>
    <row r="13" spans="1:12" ht="69">
      <c r="A13" s="6" t="s">
        <v>139</v>
      </c>
      <c r="B13" s="53" t="s">
        <v>1930</v>
      </c>
      <c r="C13" s="6" t="s">
        <v>1941</v>
      </c>
      <c r="D13" s="6" t="s">
        <v>103</v>
      </c>
      <c r="E13" s="41">
        <v>12</v>
      </c>
      <c r="F13" s="42">
        <v>12000</v>
      </c>
      <c r="G13" s="42">
        <f t="shared" si="0"/>
        <v>144000</v>
      </c>
      <c r="H13" s="6" t="s">
        <v>1932</v>
      </c>
      <c r="I13" s="6" t="s">
        <v>1942</v>
      </c>
      <c r="J13" s="6" t="s">
        <v>1943</v>
      </c>
      <c r="K13" s="6" t="s">
        <v>1069</v>
      </c>
      <c r="L13" s="6" t="s">
        <v>1944</v>
      </c>
    </row>
    <row r="14" spans="1:12" ht="41.4">
      <c r="A14" s="6" t="s">
        <v>141</v>
      </c>
      <c r="B14" s="53" t="s">
        <v>1930</v>
      </c>
      <c r="C14" s="6" t="s">
        <v>1945</v>
      </c>
      <c r="D14" s="6" t="s">
        <v>753</v>
      </c>
      <c r="E14" s="41">
        <v>4</v>
      </c>
      <c r="F14" s="42">
        <v>35000</v>
      </c>
      <c r="G14" s="42">
        <f t="shared" si="0"/>
        <v>140000</v>
      </c>
      <c r="H14" s="6" t="s">
        <v>1946</v>
      </c>
      <c r="I14" s="6" t="s">
        <v>1947</v>
      </c>
      <c r="J14" s="6" t="s">
        <v>1275</v>
      </c>
      <c r="K14" s="6" t="s">
        <v>1069</v>
      </c>
      <c r="L14" s="6" t="s">
        <v>1948</v>
      </c>
    </row>
    <row r="15" spans="1:12" ht="55.2">
      <c r="A15" s="6" t="s">
        <v>147</v>
      </c>
      <c r="B15" s="53" t="s">
        <v>1930</v>
      </c>
      <c r="C15" s="6" t="s">
        <v>1949</v>
      </c>
      <c r="D15" s="6" t="s">
        <v>753</v>
      </c>
      <c r="E15" s="41">
        <v>4</v>
      </c>
      <c r="F15" s="42">
        <v>50000</v>
      </c>
      <c r="G15" s="42">
        <f t="shared" si="0"/>
        <v>200000</v>
      </c>
      <c r="H15" s="6" t="s">
        <v>1088</v>
      </c>
      <c r="I15" s="6" t="s">
        <v>1950</v>
      </c>
      <c r="J15" s="6" t="s">
        <v>1951</v>
      </c>
      <c r="K15" s="6" t="s">
        <v>1069</v>
      </c>
      <c r="L15" s="6" t="s">
        <v>1952</v>
      </c>
    </row>
    <row r="16" spans="1:12" ht="55.2">
      <c r="A16" s="6" t="s">
        <v>183</v>
      </c>
      <c r="B16" s="53" t="s">
        <v>1953</v>
      </c>
      <c r="C16" s="6" t="s">
        <v>1954</v>
      </c>
      <c r="D16" s="6" t="s">
        <v>103</v>
      </c>
      <c r="E16" s="41">
        <v>0</v>
      </c>
      <c r="F16" s="42">
        <v>3000</v>
      </c>
      <c r="G16" s="42">
        <f t="shared" si="0"/>
        <v>0</v>
      </c>
      <c r="H16" s="6" t="s">
        <v>1955</v>
      </c>
      <c r="I16" s="6" t="s">
        <v>65</v>
      </c>
      <c r="J16" s="6" t="s">
        <v>1956</v>
      </c>
      <c r="K16" s="6" t="s">
        <v>1957</v>
      </c>
      <c r="L16" s="6" t="s">
        <v>1958</v>
      </c>
    </row>
    <row r="17" spans="1:12" ht="55.2">
      <c r="A17" s="6" t="s">
        <v>188</v>
      </c>
      <c r="B17" s="53" t="s">
        <v>1953</v>
      </c>
      <c r="C17" s="6" t="s">
        <v>1959</v>
      </c>
      <c r="D17" s="6" t="s">
        <v>103</v>
      </c>
      <c r="E17" s="41">
        <v>0</v>
      </c>
      <c r="F17" s="42">
        <v>2700</v>
      </c>
      <c r="G17" s="42">
        <f t="shared" si="0"/>
        <v>0</v>
      </c>
      <c r="H17" s="6" t="s">
        <v>1960</v>
      </c>
      <c r="I17" s="6" t="s">
        <v>65</v>
      </c>
      <c r="J17" s="6" t="s">
        <v>1956</v>
      </c>
      <c r="K17" s="6" t="s">
        <v>1957</v>
      </c>
      <c r="L17" s="6" t="s">
        <v>1958</v>
      </c>
    </row>
    <row r="18" spans="1:12" ht="55.2">
      <c r="A18" s="6" t="s">
        <v>193</v>
      </c>
      <c r="B18" s="53" t="s">
        <v>1953</v>
      </c>
      <c r="C18" s="6" t="s">
        <v>1961</v>
      </c>
      <c r="D18" s="6" t="s">
        <v>753</v>
      </c>
      <c r="E18" s="41">
        <v>0</v>
      </c>
      <c r="F18" s="42">
        <v>6000</v>
      </c>
      <c r="G18" s="42">
        <f t="shared" si="0"/>
        <v>0</v>
      </c>
      <c r="H18" s="6" t="s">
        <v>1962</v>
      </c>
      <c r="I18" s="6" t="s">
        <v>1963</v>
      </c>
      <c r="J18" s="6" t="s">
        <v>1956</v>
      </c>
      <c r="K18" s="6" t="s">
        <v>1957</v>
      </c>
      <c r="L18" s="6" t="s">
        <v>1958</v>
      </c>
    </row>
    <row r="19" spans="1:12" ht="55.2">
      <c r="A19" s="6" t="s">
        <v>198</v>
      </c>
      <c r="B19" s="53" t="s">
        <v>1953</v>
      </c>
      <c r="C19" s="6" t="s">
        <v>1964</v>
      </c>
      <c r="D19" s="6" t="s">
        <v>753</v>
      </c>
      <c r="E19" s="41">
        <v>0</v>
      </c>
      <c r="F19" s="42">
        <v>50000</v>
      </c>
      <c r="G19" s="42">
        <f t="shared" si="0"/>
        <v>0</v>
      </c>
      <c r="H19" s="6" t="s">
        <v>1088</v>
      </c>
      <c r="I19" s="6" t="s">
        <v>1965</v>
      </c>
      <c r="J19" s="6" t="s">
        <v>1956</v>
      </c>
      <c r="K19" s="6" t="s">
        <v>1957</v>
      </c>
      <c r="L19" s="6" t="s">
        <v>1958</v>
      </c>
    </row>
    <row r="20" spans="1:12" ht="66" customHeight="1">
      <c r="A20" s="6" t="s">
        <v>215</v>
      </c>
      <c r="B20" s="53" t="s">
        <v>1966</v>
      </c>
      <c r="C20" s="6" t="s">
        <v>1967</v>
      </c>
      <c r="D20" s="6" t="s">
        <v>20</v>
      </c>
      <c r="E20" s="41">
        <v>1</v>
      </c>
      <c r="F20" s="42">
        <v>300000</v>
      </c>
      <c r="G20" s="42">
        <f t="shared" si="0"/>
        <v>300000</v>
      </c>
      <c r="H20" s="6" t="s">
        <v>1584</v>
      </c>
      <c r="I20" s="6" t="s">
        <v>1968</v>
      </c>
      <c r="J20" s="6" t="s">
        <v>1275</v>
      </c>
      <c r="K20" s="6" t="s">
        <v>657</v>
      </c>
      <c r="L20" s="6" t="s">
        <v>1969</v>
      </c>
    </row>
    <row r="21" spans="1:12" ht="55.2">
      <c r="A21" s="6" t="s">
        <v>221</v>
      </c>
      <c r="B21" s="53" t="s">
        <v>1966</v>
      </c>
      <c r="C21" s="6" t="s">
        <v>1970</v>
      </c>
      <c r="D21" s="6" t="s">
        <v>20</v>
      </c>
      <c r="E21" s="41">
        <v>1</v>
      </c>
      <c r="F21" s="42">
        <v>200000</v>
      </c>
      <c r="G21" s="42">
        <f t="shared" si="0"/>
        <v>200000</v>
      </c>
      <c r="H21" s="6" t="s">
        <v>1588</v>
      </c>
      <c r="I21" s="6" t="s">
        <v>1971</v>
      </c>
      <c r="J21" s="6" t="s">
        <v>1275</v>
      </c>
      <c r="K21" s="6" t="s">
        <v>657</v>
      </c>
      <c r="L21" s="6" t="s">
        <v>1972</v>
      </c>
    </row>
    <row r="22" spans="1:12">
      <c r="A22" s="6"/>
      <c r="B22" s="6"/>
      <c r="C22" s="6"/>
      <c r="D22" s="6"/>
      <c r="E22" s="6"/>
      <c r="F22" s="6"/>
      <c r="G22" s="6"/>
      <c r="H22" s="6"/>
      <c r="I22" s="6"/>
      <c r="J22" s="6"/>
      <c r="K22" s="6"/>
      <c r="L22" s="6"/>
    </row>
    <row r="23" spans="1:12">
      <c r="A23" s="6"/>
      <c r="B23" s="6"/>
      <c r="C23" s="6"/>
      <c r="D23" s="6"/>
      <c r="E23" s="6"/>
      <c r="F23" s="6"/>
      <c r="G23" s="6"/>
      <c r="H23" s="6"/>
      <c r="I23" s="6"/>
      <c r="J23" s="6"/>
      <c r="K23" s="6"/>
      <c r="L23" s="6"/>
    </row>
    <row r="24" spans="1:12">
      <c r="A24" s="6"/>
      <c r="B24" s="6"/>
      <c r="C24" s="6"/>
      <c r="D24" s="6"/>
      <c r="E24" s="6"/>
      <c r="F24" s="9" t="s">
        <v>1115</v>
      </c>
      <c r="G24" s="43">
        <f>SUM(G5:G21)</f>
        <v>3479000</v>
      </c>
      <c r="H24" s="6"/>
      <c r="I24" s="6"/>
      <c r="J24" s="6"/>
      <c r="K24" s="6"/>
      <c r="L24" s="6"/>
    </row>
  </sheetData>
  <mergeCells count="2">
    <mergeCell ref="A1:L1"/>
    <mergeCell ref="A2:L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0"/>
  <sheetViews>
    <sheetView workbookViewId="0">
      <selection sqref="A1:H1"/>
    </sheetView>
  </sheetViews>
  <sheetFormatPr defaultRowHeight="13.8"/>
  <cols>
    <col min="1" max="1" width="34" customWidth="1"/>
    <col min="2" max="2" width="38" customWidth="1"/>
    <col min="3" max="3" width="37" customWidth="1"/>
    <col min="4" max="4" width="34" customWidth="1"/>
    <col min="5" max="5" width="38" customWidth="1"/>
    <col min="6" max="6" width="17" customWidth="1"/>
    <col min="7" max="7" width="22" customWidth="1"/>
    <col min="8" max="8" width="35" customWidth="1"/>
  </cols>
  <sheetData>
    <row r="1" spans="1:8" ht="17.399999999999999">
      <c r="A1" s="122" t="s">
        <v>1973</v>
      </c>
      <c r="B1" s="122"/>
      <c r="C1" s="122"/>
      <c r="D1" s="122"/>
      <c r="E1" s="122"/>
      <c r="F1" s="122"/>
      <c r="G1" s="122"/>
      <c r="H1" s="122"/>
    </row>
    <row r="2" spans="1:8">
      <c r="A2" s="2"/>
      <c r="B2" s="2"/>
      <c r="C2" s="2"/>
      <c r="D2" s="2"/>
      <c r="E2" s="2"/>
      <c r="F2" s="2"/>
      <c r="G2" s="2"/>
      <c r="H2" s="2"/>
    </row>
    <row r="3" spans="1:8">
      <c r="A3" s="15" t="s">
        <v>1121</v>
      </c>
      <c r="B3" s="15" t="s">
        <v>1353</v>
      </c>
      <c r="C3" s="15" t="s">
        <v>1974</v>
      </c>
      <c r="D3" s="15" t="s">
        <v>1125</v>
      </c>
      <c r="E3" s="15" t="s">
        <v>1355</v>
      </c>
      <c r="F3" s="15" t="s">
        <v>1356</v>
      </c>
      <c r="G3" s="15" t="s">
        <v>1357</v>
      </c>
      <c r="H3" s="15" t="s">
        <v>1358</v>
      </c>
    </row>
    <row r="4" spans="1:8" ht="27.6">
      <c r="A4" s="2" t="s">
        <v>1975</v>
      </c>
      <c r="B4" s="2" t="s">
        <v>1976</v>
      </c>
      <c r="C4" s="2" t="s">
        <v>1977</v>
      </c>
      <c r="D4" s="2" t="s">
        <v>1978</v>
      </c>
      <c r="E4" s="2" t="s">
        <v>1979</v>
      </c>
      <c r="F4" s="2" t="s">
        <v>1143</v>
      </c>
      <c r="G4" s="2" t="s">
        <v>1980</v>
      </c>
      <c r="H4" s="2" t="s">
        <v>1981</v>
      </c>
    </row>
    <row r="5" spans="1:8" ht="27.6">
      <c r="A5" s="2" t="s">
        <v>1982</v>
      </c>
      <c r="B5" s="2" t="s">
        <v>1983</v>
      </c>
      <c r="C5" s="2" t="s">
        <v>1132</v>
      </c>
      <c r="D5" s="2" t="s">
        <v>1984</v>
      </c>
      <c r="E5" s="2" t="s">
        <v>1985</v>
      </c>
      <c r="F5" s="2" t="s">
        <v>1143</v>
      </c>
      <c r="G5" s="2" t="s">
        <v>1413</v>
      </c>
      <c r="H5" s="2" t="s">
        <v>1986</v>
      </c>
    </row>
    <row r="6" spans="1:8" ht="27.6">
      <c r="A6" s="2" t="s">
        <v>1828</v>
      </c>
      <c r="B6" s="2" t="s">
        <v>1829</v>
      </c>
      <c r="C6" s="2" t="s">
        <v>1132</v>
      </c>
      <c r="D6" s="2" t="s">
        <v>1987</v>
      </c>
      <c r="E6" s="2" t="s">
        <v>1988</v>
      </c>
      <c r="F6" s="2" t="s">
        <v>1189</v>
      </c>
      <c r="G6" s="2" t="s">
        <v>1413</v>
      </c>
      <c r="H6" s="2" t="s">
        <v>1989</v>
      </c>
    </row>
    <row r="7" spans="1:8" ht="27.6">
      <c r="A7" s="2" t="s">
        <v>1990</v>
      </c>
      <c r="B7" s="2" t="s">
        <v>1991</v>
      </c>
      <c r="C7" s="2" t="s">
        <v>1992</v>
      </c>
      <c r="D7" s="2" t="s">
        <v>1993</v>
      </c>
      <c r="E7" s="2" t="s">
        <v>1994</v>
      </c>
      <c r="F7" s="2" t="s">
        <v>1189</v>
      </c>
      <c r="G7" s="2" t="s">
        <v>1995</v>
      </c>
      <c r="H7" s="2" t="s">
        <v>1996</v>
      </c>
    </row>
    <row r="8" spans="1:8" ht="41.4">
      <c r="A8" s="2" t="s">
        <v>1997</v>
      </c>
      <c r="B8" s="2" t="s">
        <v>1998</v>
      </c>
      <c r="C8" s="2" t="s">
        <v>1999</v>
      </c>
      <c r="D8" s="2" t="s">
        <v>2000</v>
      </c>
      <c r="E8" s="2" t="s">
        <v>2001</v>
      </c>
      <c r="F8" s="2" t="s">
        <v>1206</v>
      </c>
      <c r="G8" s="2" t="s">
        <v>1995</v>
      </c>
      <c r="H8" s="2" t="s">
        <v>2002</v>
      </c>
    </row>
    <row r="9" spans="1:8" ht="27.6">
      <c r="A9" s="2" t="s">
        <v>1938</v>
      </c>
      <c r="B9" s="2" t="s">
        <v>2003</v>
      </c>
      <c r="C9" s="2" t="s">
        <v>2004</v>
      </c>
      <c r="D9" s="2" t="s">
        <v>2005</v>
      </c>
      <c r="E9" s="2" t="s">
        <v>2006</v>
      </c>
      <c r="F9" s="2" t="s">
        <v>1182</v>
      </c>
      <c r="G9" s="2" t="s">
        <v>2007</v>
      </c>
      <c r="H9" s="2" t="s">
        <v>2008</v>
      </c>
    </row>
    <row r="10" spans="1:8" ht="27.6">
      <c r="A10" s="2" t="s">
        <v>2009</v>
      </c>
      <c r="B10" s="2" t="s">
        <v>2010</v>
      </c>
      <c r="C10" s="2" t="s">
        <v>2011</v>
      </c>
      <c r="D10" s="2" t="s">
        <v>2012</v>
      </c>
      <c r="E10" s="2" t="s">
        <v>2013</v>
      </c>
      <c r="F10" s="2" t="s">
        <v>1143</v>
      </c>
      <c r="G10" s="2" t="s">
        <v>1413</v>
      </c>
      <c r="H10" s="2" t="s">
        <v>2014</v>
      </c>
    </row>
    <row r="11" spans="1:8" ht="27.6">
      <c r="A11" s="2" t="s">
        <v>2015</v>
      </c>
      <c r="B11" s="2" t="s">
        <v>2016</v>
      </c>
      <c r="C11" s="2" t="s">
        <v>1179</v>
      </c>
      <c r="D11" s="2" t="s">
        <v>2017</v>
      </c>
      <c r="E11" s="2" t="s">
        <v>2018</v>
      </c>
      <c r="F11" s="2" t="s">
        <v>1182</v>
      </c>
      <c r="G11" s="2" t="s">
        <v>2019</v>
      </c>
      <c r="H11" s="2" t="s">
        <v>2020</v>
      </c>
    </row>
    <row r="12" spans="1:8" ht="41.4">
      <c r="A12" s="2" t="s">
        <v>2021</v>
      </c>
      <c r="B12" s="2" t="s">
        <v>2022</v>
      </c>
      <c r="C12" s="2" t="s">
        <v>2023</v>
      </c>
      <c r="D12" s="2" t="s">
        <v>2024</v>
      </c>
      <c r="E12" s="2" t="s">
        <v>2025</v>
      </c>
      <c r="F12" s="2" t="s">
        <v>1206</v>
      </c>
      <c r="G12" s="2" t="s">
        <v>2026</v>
      </c>
      <c r="H12" s="2" t="s">
        <v>2027</v>
      </c>
    </row>
    <row r="13" spans="1:8" ht="27.6">
      <c r="A13" s="2" t="s">
        <v>2028</v>
      </c>
      <c r="B13" s="2" t="s">
        <v>2029</v>
      </c>
      <c r="C13" s="2" t="s">
        <v>1417</v>
      </c>
      <c r="D13" s="2" t="s">
        <v>2030</v>
      </c>
      <c r="E13" s="2" t="s">
        <v>588</v>
      </c>
      <c r="F13" s="2" t="s">
        <v>1182</v>
      </c>
      <c r="G13" s="2" t="s">
        <v>1413</v>
      </c>
      <c r="H13" s="2" t="s">
        <v>2031</v>
      </c>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sheetData>
  <mergeCells count="1">
    <mergeCell ref="A1:H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8"/>
  <sheetViews>
    <sheetView workbookViewId="0">
      <selection sqref="A1:J1"/>
    </sheetView>
  </sheetViews>
  <sheetFormatPr defaultRowHeight="13.8"/>
  <cols>
    <col min="1" max="1" width="10" customWidth="1"/>
    <col min="2" max="2" width="36" customWidth="1"/>
    <col min="3" max="3" width="10" customWidth="1"/>
    <col min="4" max="4" width="18" customWidth="1"/>
    <col min="5" max="5" width="31" customWidth="1"/>
    <col min="6" max="6" width="45" customWidth="1"/>
    <col min="7" max="7" width="40" customWidth="1"/>
    <col min="8" max="8" width="19" customWidth="1"/>
    <col min="9" max="9" width="16" customWidth="1"/>
    <col min="10" max="10" width="42" customWidth="1"/>
  </cols>
  <sheetData>
    <row r="1" spans="1:10" ht="17.399999999999999">
      <c r="A1" s="122" t="s">
        <v>2032</v>
      </c>
      <c r="B1" s="122"/>
      <c r="C1" s="122"/>
      <c r="D1" s="122"/>
      <c r="E1" s="122"/>
      <c r="F1" s="122"/>
      <c r="G1" s="122"/>
      <c r="H1" s="122"/>
      <c r="I1" s="122"/>
      <c r="J1" s="122"/>
    </row>
    <row r="2" spans="1:10">
      <c r="A2" s="2"/>
      <c r="B2" s="2"/>
      <c r="C2" s="2"/>
      <c r="D2" s="2"/>
      <c r="E2" s="2"/>
      <c r="F2" s="2"/>
      <c r="G2" s="2"/>
      <c r="H2" s="2"/>
      <c r="I2" s="2"/>
      <c r="J2" s="2"/>
    </row>
    <row r="3" spans="1:10">
      <c r="A3" s="15" t="s">
        <v>367</v>
      </c>
      <c r="B3" s="15" t="s">
        <v>1197</v>
      </c>
      <c r="C3" s="15" t="s">
        <v>8</v>
      </c>
      <c r="D3" s="15" t="s">
        <v>504</v>
      </c>
      <c r="E3" s="15" t="s">
        <v>12</v>
      </c>
      <c r="F3" s="15" t="s">
        <v>1422</v>
      </c>
      <c r="G3" s="15" t="s">
        <v>1654</v>
      </c>
      <c r="H3" s="15" t="s">
        <v>1199</v>
      </c>
      <c r="I3" s="15" t="s">
        <v>1200</v>
      </c>
      <c r="J3" s="15" t="s">
        <v>507</v>
      </c>
    </row>
    <row r="4" spans="1:10" ht="41.4">
      <c r="A4" s="2" t="s">
        <v>2033</v>
      </c>
      <c r="B4" s="2" t="s">
        <v>2034</v>
      </c>
      <c r="C4" s="2" t="s">
        <v>103</v>
      </c>
      <c r="D4" s="2">
        <v>3000</v>
      </c>
      <c r="E4" s="2" t="s">
        <v>1657</v>
      </c>
      <c r="F4" s="2" t="s">
        <v>2035</v>
      </c>
      <c r="G4" s="2" t="s">
        <v>510</v>
      </c>
      <c r="H4" s="2" t="s">
        <v>753</v>
      </c>
      <c r="I4" s="2" t="s">
        <v>1151</v>
      </c>
      <c r="J4" s="2" t="s">
        <v>2036</v>
      </c>
    </row>
    <row r="5" spans="1:10" ht="41.4">
      <c r="A5" s="2" t="s">
        <v>2037</v>
      </c>
      <c r="B5" s="2" t="s">
        <v>2038</v>
      </c>
      <c r="C5" s="2" t="s">
        <v>103</v>
      </c>
      <c r="D5" s="2">
        <v>2700</v>
      </c>
      <c r="E5" s="2" t="s">
        <v>1657</v>
      </c>
      <c r="F5" s="2" t="s">
        <v>2039</v>
      </c>
      <c r="G5" s="2" t="s">
        <v>510</v>
      </c>
      <c r="H5" s="2" t="s">
        <v>753</v>
      </c>
      <c r="I5" s="2" t="s">
        <v>1143</v>
      </c>
      <c r="J5" s="2" t="s">
        <v>2040</v>
      </c>
    </row>
    <row r="6" spans="1:10" ht="27.6">
      <c r="A6" s="2" t="s">
        <v>2041</v>
      </c>
      <c r="B6" s="2" t="s">
        <v>2042</v>
      </c>
      <c r="C6" s="2" t="s">
        <v>753</v>
      </c>
      <c r="D6" s="2">
        <v>6000</v>
      </c>
      <c r="E6" s="2" t="s">
        <v>2043</v>
      </c>
      <c r="F6" s="2" t="s">
        <v>2044</v>
      </c>
      <c r="G6" s="2" t="s">
        <v>510</v>
      </c>
      <c r="H6" s="2" t="s">
        <v>753</v>
      </c>
      <c r="I6" s="2" t="s">
        <v>1189</v>
      </c>
      <c r="J6" s="2" t="s">
        <v>2045</v>
      </c>
    </row>
    <row r="7" spans="1:10" ht="41.4">
      <c r="A7" s="2" t="s">
        <v>2046</v>
      </c>
      <c r="B7" s="2" t="s">
        <v>2047</v>
      </c>
      <c r="C7" s="2" t="s">
        <v>103</v>
      </c>
      <c r="D7" s="2">
        <v>15000</v>
      </c>
      <c r="E7" s="2" t="s">
        <v>1751</v>
      </c>
      <c r="F7" s="2" t="s">
        <v>2048</v>
      </c>
      <c r="G7" s="2" t="s">
        <v>2049</v>
      </c>
      <c r="H7" s="2" t="s">
        <v>1700</v>
      </c>
      <c r="I7" s="2" t="s">
        <v>1206</v>
      </c>
      <c r="J7" s="2" t="s">
        <v>2050</v>
      </c>
    </row>
    <row r="8" spans="1:10" ht="27.6">
      <c r="A8" s="2" t="s">
        <v>2051</v>
      </c>
      <c r="B8" s="2" t="s">
        <v>2052</v>
      </c>
      <c r="C8" s="2" t="s">
        <v>103</v>
      </c>
      <c r="D8" s="2">
        <v>10000</v>
      </c>
      <c r="E8" s="2" t="s">
        <v>1088</v>
      </c>
      <c r="F8" s="2" t="s">
        <v>2053</v>
      </c>
      <c r="G8" s="2" t="s">
        <v>2054</v>
      </c>
      <c r="H8" s="2" t="s">
        <v>1241</v>
      </c>
      <c r="I8" s="2" t="s">
        <v>1206</v>
      </c>
      <c r="J8" s="2" t="s">
        <v>2055</v>
      </c>
    </row>
    <row r="9" spans="1:10" ht="27.6">
      <c r="A9" s="2" t="s">
        <v>2056</v>
      </c>
      <c r="B9" s="2" t="s">
        <v>2057</v>
      </c>
      <c r="C9" s="2" t="s">
        <v>753</v>
      </c>
      <c r="D9" s="2">
        <v>85000</v>
      </c>
      <c r="E9" s="2" t="s">
        <v>1348</v>
      </c>
      <c r="F9" s="2" t="s">
        <v>2058</v>
      </c>
      <c r="G9" s="2" t="s">
        <v>1692</v>
      </c>
      <c r="H9" s="2" t="s">
        <v>1212</v>
      </c>
      <c r="I9" s="2" t="s">
        <v>1206</v>
      </c>
      <c r="J9" s="2" t="s">
        <v>2059</v>
      </c>
    </row>
    <row r="10" spans="1:10" ht="27.6">
      <c r="A10" s="2" t="s">
        <v>2060</v>
      </c>
      <c r="B10" s="2" t="s">
        <v>2061</v>
      </c>
      <c r="C10" s="2" t="s">
        <v>103</v>
      </c>
      <c r="D10" s="2">
        <v>28000</v>
      </c>
      <c r="E10" s="2" t="s">
        <v>1348</v>
      </c>
      <c r="F10" s="2" t="s">
        <v>2062</v>
      </c>
      <c r="G10" s="2" t="s">
        <v>2063</v>
      </c>
      <c r="H10" s="2" t="s">
        <v>1212</v>
      </c>
      <c r="I10" s="2" t="s">
        <v>1206</v>
      </c>
      <c r="J10" s="2" t="s">
        <v>2064</v>
      </c>
    </row>
    <row r="11" spans="1:10" ht="27.6">
      <c r="A11" s="2" t="s">
        <v>2065</v>
      </c>
      <c r="B11" s="2" t="s">
        <v>2066</v>
      </c>
      <c r="C11" s="2" t="s">
        <v>46</v>
      </c>
      <c r="D11" s="2">
        <v>4500</v>
      </c>
      <c r="E11" s="2" t="s">
        <v>2067</v>
      </c>
      <c r="F11" s="2" t="s">
        <v>2068</v>
      </c>
      <c r="G11" s="2" t="s">
        <v>2069</v>
      </c>
      <c r="H11" s="2" t="s">
        <v>1241</v>
      </c>
      <c r="I11" s="2" t="s">
        <v>1189</v>
      </c>
      <c r="J11" s="2" t="s">
        <v>2070</v>
      </c>
    </row>
    <row r="12" spans="1:10" ht="27.6">
      <c r="A12" s="2" t="s">
        <v>2071</v>
      </c>
      <c r="B12" s="2" t="s">
        <v>2072</v>
      </c>
      <c r="C12" s="2" t="s">
        <v>753</v>
      </c>
      <c r="D12" s="2">
        <v>60000</v>
      </c>
      <c r="E12" s="2" t="s">
        <v>1927</v>
      </c>
      <c r="F12" s="2" t="s">
        <v>2073</v>
      </c>
      <c r="G12" s="2" t="s">
        <v>2074</v>
      </c>
      <c r="H12" s="2" t="s">
        <v>1241</v>
      </c>
      <c r="I12" s="2" t="s">
        <v>1189</v>
      </c>
      <c r="J12" s="2" t="s">
        <v>2075</v>
      </c>
    </row>
    <row r="13" spans="1:10">
      <c r="A13" s="2"/>
      <c r="B13" s="2"/>
      <c r="C13" s="2"/>
      <c r="D13" s="2"/>
      <c r="E13" s="2"/>
      <c r="F13" s="2"/>
      <c r="G13" s="2"/>
      <c r="H13" s="2"/>
      <c r="I13" s="2"/>
      <c r="J13" s="2"/>
    </row>
    <row r="14" spans="1:10">
      <c r="A14" s="2"/>
      <c r="B14" s="2"/>
      <c r="C14" s="2"/>
      <c r="D14" s="2"/>
      <c r="E14" s="2"/>
      <c r="F14" s="2"/>
      <c r="G14" s="2"/>
      <c r="H14" s="2"/>
      <c r="I14" s="2"/>
      <c r="J14" s="2"/>
    </row>
    <row r="15" spans="1:10" ht="69">
      <c r="A15" s="2" t="s">
        <v>2076</v>
      </c>
      <c r="B15" s="2"/>
      <c r="C15" s="2"/>
      <c r="D15" s="2"/>
      <c r="E15" s="2"/>
      <c r="F15" s="2"/>
      <c r="G15" s="2"/>
      <c r="H15" s="2"/>
      <c r="I15" s="2"/>
      <c r="J15" s="2"/>
    </row>
    <row r="16" spans="1:10" ht="69">
      <c r="A16" s="2" t="s">
        <v>488</v>
      </c>
      <c r="B16" s="2" t="s">
        <v>2077</v>
      </c>
      <c r="C16" s="2"/>
      <c r="D16" s="2"/>
      <c r="E16" s="2"/>
      <c r="F16" s="2"/>
      <c r="G16" s="2"/>
      <c r="H16" s="2"/>
      <c r="I16" s="2"/>
      <c r="J16" s="2"/>
    </row>
    <row r="17" spans="1:10" ht="69">
      <c r="A17" s="2" t="s">
        <v>490</v>
      </c>
      <c r="B17" s="2" t="s">
        <v>2078</v>
      </c>
      <c r="C17" s="2"/>
      <c r="D17" s="2"/>
      <c r="E17" s="2"/>
      <c r="F17" s="2"/>
      <c r="G17" s="2"/>
      <c r="H17" s="2"/>
      <c r="I17" s="2"/>
      <c r="J17" s="2"/>
    </row>
    <row r="18" spans="1:10" ht="82.8">
      <c r="A18" s="2" t="s">
        <v>492</v>
      </c>
      <c r="B18" s="2" t="s">
        <v>2079</v>
      </c>
      <c r="C18" s="2"/>
      <c r="D18" s="2"/>
      <c r="E18" s="2"/>
      <c r="F18" s="2"/>
      <c r="G18" s="2"/>
      <c r="H18" s="2"/>
      <c r="I18" s="2"/>
      <c r="J18" s="2"/>
    </row>
    <row r="19" spans="1:10" ht="82.8">
      <c r="A19" s="2" t="s">
        <v>494</v>
      </c>
      <c r="B19" s="2" t="s">
        <v>2080</v>
      </c>
      <c r="C19" s="2"/>
      <c r="D19" s="2"/>
      <c r="E19" s="2"/>
      <c r="F19" s="2"/>
      <c r="G19" s="2"/>
      <c r="H19" s="2"/>
      <c r="I19" s="2"/>
      <c r="J19" s="2"/>
    </row>
    <row r="20" spans="1:10" ht="69">
      <c r="A20" s="2" t="s">
        <v>496</v>
      </c>
      <c r="B20" s="2" t="s">
        <v>2081</v>
      </c>
      <c r="C20" s="2"/>
      <c r="D20" s="2"/>
      <c r="E20" s="2"/>
      <c r="F20" s="2"/>
      <c r="G20" s="2"/>
      <c r="H20" s="2"/>
      <c r="I20" s="2"/>
      <c r="J20" s="2"/>
    </row>
    <row r="21" spans="1:10" ht="55.2">
      <c r="A21" s="2" t="s">
        <v>498</v>
      </c>
      <c r="B21" s="2" t="s">
        <v>2082</v>
      </c>
      <c r="C21" s="2"/>
      <c r="D21" s="2"/>
      <c r="E21" s="2"/>
      <c r="F21" s="2"/>
      <c r="G21" s="2"/>
      <c r="H21" s="2"/>
      <c r="I21" s="2"/>
      <c r="J21" s="2"/>
    </row>
    <row r="22" spans="1:10" ht="55.2">
      <c r="A22" s="2" t="s">
        <v>1489</v>
      </c>
      <c r="B22" s="2" t="s">
        <v>2083</v>
      </c>
      <c r="C22" s="2"/>
      <c r="D22" s="2"/>
      <c r="E22" s="2"/>
      <c r="F22" s="2"/>
      <c r="G22" s="2"/>
      <c r="H22" s="2"/>
      <c r="I22" s="2"/>
      <c r="J22" s="2"/>
    </row>
    <row r="23" spans="1:10" ht="27.6">
      <c r="A23" s="2" t="s">
        <v>1714</v>
      </c>
      <c r="B23" s="2" t="s">
        <v>2084</v>
      </c>
      <c r="C23" s="2"/>
      <c r="D23" s="2"/>
      <c r="E23" s="2"/>
      <c r="F23" s="2"/>
      <c r="G23" s="2"/>
      <c r="H23" s="2"/>
      <c r="I23" s="2"/>
      <c r="J23" s="2"/>
    </row>
    <row r="24" spans="1:10" ht="69">
      <c r="A24" s="2" t="s">
        <v>1899</v>
      </c>
      <c r="B24" s="2" t="s">
        <v>2085</v>
      </c>
      <c r="C24" s="2"/>
      <c r="D24" s="2"/>
      <c r="E24" s="2"/>
      <c r="F24" s="2"/>
      <c r="G24" s="2"/>
      <c r="H24" s="2"/>
      <c r="I24" s="2"/>
      <c r="J24" s="2"/>
    </row>
    <row r="25" spans="1:10">
      <c r="A25" s="2"/>
      <c r="B25" s="2"/>
      <c r="C25" s="2"/>
      <c r="D25" s="2"/>
      <c r="E25" s="2"/>
      <c r="F25" s="2"/>
      <c r="G25" s="2"/>
      <c r="H25" s="2"/>
      <c r="I25" s="2"/>
      <c r="J25" s="2"/>
    </row>
    <row r="26" spans="1:10">
      <c r="A26" s="2"/>
      <c r="B26" s="2"/>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sheetData>
  <mergeCells count="1">
    <mergeCell ref="A1:J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58"/>
  <sheetViews>
    <sheetView tabSelected="1" zoomScale="59" zoomScaleNormal="59" workbookViewId="0">
      <selection activeCell="M54" sqref="M54"/>
    </sheetView>
  </sheetViews>
  <sheetFormatPr defaultRowHeight="13.8"/>
  <cols>
    <col min="1" max="2" width="10" customWidth="1"/>
    <col min="3" max="3" width="54" customWidth="1"/>
    <col min="4" max="4" width="9" customWidth="1"/>
    <col min="5" max="5" width="11" customWidth="1"/>
    <col min="6" max="6" width="13" customWidth="1"/>
    <col min="7" max="7" width="15" customWidth="1"/>
    <col min="8" max="8" width="12" customWidth="1"/>
    <col min="9" max="9" width="15" customWidth="1"/>
    <col min="10" max="10" width="12" customWidth="1"/>
    <col min="11" max="11" width="16" customWidth="1"/>
    <col min="12" max="12" width="38" customWidth="1"/>
    <col min="13" max="14" width="14" customWidth="1"/>
    <col min="15" max="15" width="34" customWidth="1"/>
  </cols>
  <sheetData>
    <row r="1" spans="1:15" ht="17.399999999999999">
      <c r="A1" s="123" t="s">
        <v>2086</v>
      </c>
      <c r="B1" s="123"/>
      <c r="C1" s="123"/>
      <c r="D1" s="123"/>
      <c r="E1" s="123"/>
      <c r="F1" s="123"/>
      <c r="G1" s="123"/>
      <c r="H1" s="123"/>
      <c r="I1" s="123"/>
      <c r="J1" s="123"/>
      <c r="K1" s="123"/>
      <c r="L1" s="123"/>
      <c r="M1" s="123"/>
      <c r="N1" s="123"/>
      <c r="O1" s="123"/>
    </row>
    <row r="2" spans="1:15" ht="14.4">
      <c r="A2" s="124" t="s">
        <v>2087</v>
      </c>
      <c r="B2" s="124"/>
      <c r="C2" s="124"/>
      <c r="D2" s="124"/>
      <c r="E2" s="124"/>
      <c r="F2" s="124"/>
      <c r="G2" s="124"/>
      <c r="H2" s="124"/>
      <c r="I2" s="124"/>
      <c r="J2" s="124"/>
      <c r="K2" s="124"/>
      <c r="L2" s="124"/>
      <c r="M2" s="124"/>
      <c r="N2" s="124"/>
      <c r="O2" s="124"/>
    </row>
    <row r="4" spans="1:15" ht="27.6">
      <c r="A4" s="16" t="s">
        <v>2088</v>
      </c>
      <c r="B4" s="16" t="s">
        <v>619</v>
      </c>
      <c r="C4" s="16" t="s">
        <v>7</v>
      </c>
      <c r="D4" s="16" t="s">
        <v>8</v>
      </c>
      <c r="E4" s="16" t="s">
        <v>2089</v>
      </c>
      <c r="F4" s="16" t="s">
        <v>10</v>
      </c>
      <c r="G4" s="16" t="s">
        <v>2090</v>
      </c>
      <c r="H4" s="16" t="s">
        <v>2091</v>
      </c>
      <c r="I4" s="16" t="s">
        <v>2092</v>
      </c>
      <c r="J4" s="16" t="s">
        <v>2093</v>
      </c>
      <c r="K4" s="16" t="s">
        <v>2094</v>
      </c>
      <c r="L4" s="16" t="s">
        <v>2095</v>
      </c>
      <c r="M4" s="16" t="s">
        <v>1128</v>
      </c>
      <c r="N4" s="16" t="s">
        <v>1200</v>
      </c>
      <c r="O4" s="16" t="s">
        <v>623</v>
      </c>
    </row>
    <row r="5" spans="1:15">
      <c r="A5" s="2">
        <v>28</v>
      </c>
      <c r="B5" s="2">
        <v>1</v>
      </c>
      <c r="C5" s="2" t="s">
        <v>2096</v>
      </c>
      <c r="D5" s="2" t="s">
        <v>753</v>
      </c>
      <c r="E5" s="4">
        <v>1</v>
      </c>
      <c r="F5" s="4">
        <v>970000</v>
      </c>
      <c r="G5" s="4">
        <v>970000</v>
      </c>
      <c r="H5" s="4">
        <v>0</v>
      </c>
      <c r="I5" s="4">
        <v>0</v>
      </c>
      <c r="J5" s="4">
        <v>1</v>
      </c>
      <c r="K5" s="4">
        <v>970000</v>
      </c>
      <c r="L5" s="2"/>
      <c r="M5" s="2" t="s">
        <v>2097</v>
      </c>
      <c r="N5" s="2" t="s">
        <v>1143</v>
      </c>
      <c r="O5" s="2"/>
    </row>
    <row r="6" spans="1:15">
      <c r="A6" s="2">
        <v>51</v>
      </c>
      <c r="B6" s="2"/>
      <c r="C6" s="2" t="s">
        <v>2098</v>
      </c>
      <c r="D6" s="2" t="s">
        <v>753</v>
      </c>
      <c r="E6" s="4">
        <v>1</v>
      </c>
      <c r="F6" s="4">
        <v>220000</v>
      </c>
      <c r="G6" s="4">
        <v>220000</v>
      </c>
      <c r="H6" s="4">
        <v>0</v>
      </c>
      <c r="I6" s="4">
        <v>0</v>
      </c>
      <c r="J6" s="4">
        <v>1</v>
      </c>
      <c r="K6" s="4">
        <v>220000</v>
      </c>
      <c r="L6" s="2"/>
      <c r="M6" s="2" t="s">
        <v>2097</v>
      </c>
      <c r="N6" s="2" t="s">
        <v>1143</v>
      </c>
      <c r="O6" s="2"/>
    </row>
    <row r="7" spans="1:15">
      <c r="A7" s="2">
        <v>67</v>
      </c>
      <c r="B7" s="2">
        <v>2.1</v>
      </c>
      <c r="C7" s="2" t="s">
        <v>2099</v>
      </c>
      <c r="D7" s="2" t="s">
        <v>753</v>
      </c>
      <c r="E7" s="4">
        <v>1</v>
      </c>
      <c r="F7" s="4">
        <v>235000</v>
      </c>
      <c r="G7" s="4">
        <v>235000</v>
      </c>
      <c r="H7" s="4">
        <v>0</v>
      </c>
      <c r="I7" s="4">
        <v>0</v>
      </c>
      <c r="J7" s="4">
        <v>1</v>
      </c>
      <c r="K7" s="4">
        <v>235000</v>
      </c>
      <c r="L7" s="2"/>
      <c r="M7" s="2" t="s">
        <v>2097</v>
      </c>
      <c r="N7" s="2" t="s">
        <v>1143</v>
      </c>
      <c r="O7" s="2"/>
    </row>
    <row r="8" spans="1:15">
      <c r="A8" s="2">
        <v>82</v>
      </c>
      <c r="B8" s="2">
        <v>2.2000000000000002</v>
      </c>
      <c r="C8" s="2" t="s">
        <v>2100</v>
      </c>
      <c r="D8" s="2" t="s">
        <v>753</v>
      </c>
      <c r="E8" s="4">
        <v>1</v>
      </c>
      <c r="F8" s="4">
        <v>235000</v>
      </c>
      <c r="G8" s="4">
        <v>235000</v>
      </c>
      <c r="H8" s="4">
        <v>0</v>
      </c>
      <c r="I8" s="4">
        <v>0</v>
      </c>
      <c r="J8" s="4">
        <v>1</v>
      </c>
      <c r="K8" s="4">
        <v>235000</v>
      </c>
      <c r="L8" s="2"/>
      <c r="M8" s="2" t="s">
        <v>2097</v>
      </c>
      <c r="N8" s="2" t="s">
        <v>1143</v>
      </c>
      <c r="O8" s="2"/>
    </row>
    <row r="9" spans="1:15" ht="55.2">
      <c r="A9" s="2">
        <v>95</v>
      </c>
      <c r="B9" s="2">
        <v>2.2999999999999998</v>
      </c>
      <c r="C9" s="2" t="s">
        <v>2101</v>
      </c>
      <c r="D9" s="2" t="s">
        <v>753</v>
      </c>
      <c r="E9" s="4">
        <v>1</v>
      </c>
      <c r="F9" s="4">
        <v>140000</v>
      </c>
      <c r="G9" s="4">
        <v>140000</v>
      </c>
      <c r="H9" s="4">
        <v>0</v>
      </c>
      <c r="I9" s="4">
        <v>0</v>
      </c>
      <c r="J9" s="4">
        <v>1</v>
      </c>
      <c r="K9" s="4">
        <v>140000</v>
      </c>
      <c r="L9" s="2" t="s">
        <v>2102</v>
      </c>
      <c r="M9" s="2" t="s">
        <v>2097</v>
      </c>
      <c r="N9" s="2" t="s">
        <v>1189</v>
      </c>
      <c r="O9" s="2" t="s">
        <v>2103</v>
      </c>
    </row>
    <row r="10" spans="1:15" ht="55.2">
      <c r="A10" s="2">
        <v>108</v>
      </c>
      <c r="B10" s="2">
        <v>2.4</v>
      </c>
      <c r="C10" s="2" t="s">
        <v>2104</v>
      </c>
      <c r="D10" s="2" t="s">
        <v>753</v>
      </c>
      <c r="E10" s="4">
        <v>1</v>
      </c>
      <c r="F10" s="4">
        <v>140000</v>
      </c>
      <c r="G10" s="4">
        <v>140000</v>
      </c>
      <c r="H10" s="4">
        <v>0</v>
      </c>
      <c r="I10" s="4">
        <v>0</v>
      </c>
      <c r="J10" s="4">
        <v>1</v>
      </c>
      <c r="K10" s="4">
        <v>140000</v>
      </c>
      <c r="L10" s="2" t="s">
        <v>2102</v>
      </c>
      <c r="M10" s="2" t="s">
        <v>2097</v>
      </c>
      <c r="N10" s="2" t="s">
        <v>1189</v>
      </c>
      <c r="O10" s="2" t="s">
        <v>2103</v>
      </c>
    </row>
    <row r="11" spans="1:15" ht="55.2">
      <c r="A11" s="2">
        <v>121</v>
      </c>
      <c r="B11" s="2">
        <v>2.5</v>
      </c>
      <c r="C11" s="2" t="s">
        <v>2105</v>
      </c>
      <c r="D11" s="2" t="s">
        <v>753</v>
      </c>
      <c r="E11" s="4">
        <v>1</v>
      </c>
      <c r="F11" s="4">
        <v>140000</v>
      </c>
      <c r="G11" s="4">
        <v>140000</v>
      </c>
      <c r="H11" s="4">
        <v>0</v>
      </c>
      <c r="I11" s="4">
        <v>0</v>
      </c>
      <c r="J11" s="4">
        <v>1</v>
      </c>
      <c r="K11" s="4">
        <v>140000</v>
      </c>
      <c r="L11" s="2" t="s">
        <v>2102</v>
      </c>
      <c r="M11" s="2" t="s">
        <v>2097</v>
      </c>
      <c r="N11" s="2" t="s">
        <v>1189</v>
      </c>
      <c r="O11" s="2" t="s">
        <v>2103</v>
      </c>
    </row>
    <row r="12" spans="1:15" ht="55.2">
      <c r="A12" s="2">
        <v>134</v>
      </c>
      <c r="B12" s="2">
        <v>2.6</v>
      </c>
      <c r="C12" s="2" t="s">
        <v>2106</v>
      </c>
      <c r="D12" s="2" t="s">
        <v>753</v>
      </c>
      <c r="E12" s="4">
        <v>1</v>
      </c>
      <c r="F12" s="4">
        <v>145000</v>
      </c>
      <c r="G12" s="4">
        <v>145000</v>
      </c>
      <c r="H12" s="4">
        <v>0</v>
      </c>
      <c r="I12" s="4">
        <v>0</v>
      </c>
      <c r="J12" s="4">
        <v>1</v>
      </c>
      <c r="K12" s="4">
        <v>145000</v>
      </c>
      <c r="L12" s="2" t="s">
        <v>2102</v>
      </c>
      <c r="M12" s="2" t="s">
        <v>2097</v>
      </c>
      <c r="N12" s="2" t="s">
        <v>1189</v>
      </c>
      <c r="O12" s="2" t="s">
        <v>2103</v>
      </c>
    </row>
    <row r="13" spans="1:15">
      <c r="A13" s="2">
        <v>147</v>
      </c>
      <c r="B13" s="2">
        <v>2.7</v>
      </c>
      <c r="C13" s="2" t="s">
        <v>2107</v>
      </c>
      <c r="D13" s="2" t="s">
        <v>753</v>
      </c>
      <c r="E13" s="4">
        <v>1</v>
      </c>
      <c r="F13" s="4">
        <v>140000</v>
      </c>
      <c r="G13" s="4">
        <v>140000</v>
      </c>
      <c r="H13" s="4">
        <v>0</v>
      </c>
      <c r="I13" s="4">
        <v>0</v>
      </c>
      <c r="J13" s="4">
        <v>1</v>
      </c>
      <c r="K13" s="4">
        <v>140000</v>
      </c>
      <c r="L13" s="2"/>
      <c r="M13" s="2" t="s">
        <v>2097</v>
      </c>
      <c r="N13" s="2" t="s">
        <v>1143</v>
      </c>
      <c r="O13" s="2"/>
    </row>
    <row r="14" spans="1:15" ht="41.4">
      <c r="A14" s="2">
        <v>158</v>
      </c>
      <c r="B14" s="2">
        <v>2.8</v>
      </c>
      <c r="C14" s="2" t="s">
        <v>2108</v>
      </c>
      <c r="D14" s="2" t="s">
        <v>753</v>
      </c>
      <c r="E14" s="4">
        <v>1</v>
      </c>
      <c r="F14" s="4">
        <v>735000</v>
      </c>
      <c r="G14" s="4">
        <v>735000</v>
      </c>
      <c r="H14" s="4">
        <v>0</v>
      </c>
      <c r="I14" s="4">
        <v>0</v>
      </c>
      <c r="J14" s="4">
        <v>1</v>
      </c>
      <c r="K14" s="4">
        <v>735000</v>
      </c>
      <c r="L14" s="2" t="s">
        <v>2109</v>
      </c>
      <c r="M14" s="2" t="s">
        <v>2097</v>
      </c>
      <c r="N14" s="2" t="s">
        <v>1143</v>
      </c>
      <c r="O14" s="2"/>
    </row>
    <row r="15" spans="1:15">
      <c r="A15" s="2">
        <v>192</v>
      </c>
      <c r="B15" s="2">
        <v>3.1</v>
      </c>
      <c r="C15" s="2" t="s">
        <v>2110</v>
      </c>
      <c r="D15" s="2" t="s">
        <v>103</v>
      </c>
      <c r="E15" s="4">
        <v>120</v>
      </c>
      <c r="F15" s="4">
        <v>15000</v>
      </c>
      <c r="G15" s="4">
        <v>1800000</v>
      </c>
      <c r="H15" s="4">
        <v>0</v>
      </c>
      <c r="I15" s="4">
        <v>0</v>
      </c>
      <c r="J15" s="4">
        <v>120</v>
      </c>
      <c r="K15" s="4">
        <v>1800000</v>
      </c>
      <c r="L15" s="2"/>
      <c r="M15" s="2" t="s">
        <v>2097</v>
      </c>
      <c r="N15" s="2" t="s">
        <v>1143</v>
      </c>
      <c r="O15" s="2"/>
    </row>
    <row r="16" spans="1:15" ht="27.6">
      <c r="A16" s="2">
        <v>194</v>
      </c>
      <c r="B16" s="2">
        <v>3.2</v>
      </c>
      <c r="C16" s="2" t="s">
        <v>2111</v>
      </c>
      <c r="D16" s="2" t="s">
        <v>103</v>
      </c>
      <c r="E16" s="4">
        <v>15</v>
      </c>
      <c r="F16" s="4">
        <v>5500</v>
      </c>
      <c r="G16" s="4">
        <v>82500</v>
      </c>
      <c r="H16" s="4">
        <v>0</v>
      </c>
      <c r="I16" s="4">
        <v>0</v>
      </c>
      <c r="J16" s="4">
        <v>15</v>
      </c>
      <c r="K16" s="4">
        <v>82500</v>
      </c>
      <c r="L16" s="2"/>
      <c r="M16" s="2" t="s">
        <v>2097</v>
      </c>
      <c r="N16" s="2" t="s">
        <v>1143</v>
      </c>
      <c r="O16" s="2"/>
    </row>
    <row r="17" spans="1:15" ht="27.6">
      <c r="A17" s="2">
        <v>196</v>
      </c>
      <c r="B17" s="2">
        <v>3.4</v>
      </c>
      <c r="C17" s="2" t="s">
        <v>2112</v>
      </c>
      <c r="D17" s="2" t="s">
        <v>103</v>
      </c>
      <c r="E17" s="4">
        <v>55</v>
      </c>
      <c r="F17" s="4">
        <v>6500</v>
      </c>
      <c r="G17" s="4">
        <v>357500</v>
      </c>
      <c r="H17" s="4">
        <v>0</v>
      </c>
      <c r="I17" s="4">
        <v>0</v>
      </c>
      <c r="J17" s="4">
        <v>55</v>
      </c>
      <c r="K17" s="4">
        <v>357500</v>
      </c>
      <c r="L17" s="2"/>
      <c r="M17" s="2" t="s">
        <v>2097</v>
      </c>
      <c r="N17" s="2" t="s">
        <v>1143</v>
      </c>
      <c r="O17" s="2"/>
    </row>
    <row r="18" spans="1:15" ht="27.6">
      <c r="A18" s="2">
        <v>198</v>
      </c>
      <c r="B18" s="2">
        <v>3.4</v>
      </c>
      <c r="C18" s="2" t="s">
        <v>2113</v>
      </c>
      <c r="D18" s="2" t="s">
        <v>103</v>
      </c>
      <c r="E18" s="4">
        <v>40</v>
      </c>
      <c r="F18" s="4">
        <v>6500</v>
      </c>
      <c r="G18" s="4">
        <v>260000</v>
      </c>
      <c r="H18" s="4">
        <v>0</v>
      </c>
      <c r="I18" s="4">
        <v>0</v>
      </c>
      <c r="J18" s="4">
        <v>40</v>
      </c>
      <c r="K18" s="4">
        <v>260000</v>
      </c>
      <c r="L18" s="2"/>
      <c r="M18" s="2" t="s">
        <v>2097</v>
      </c>
      <c r="N18" s="2" t="s">
        <v>1143</v>
      </c>
      <c r="O18" s="2"/>
    </row>
    <row r="19" spans="1:15" ht="27.6">
      <c r="A19" s="2">
        <v>200</v>
      </c>
      <c r="B19" s="2">
        <v>3.5</v>
      </c>
      <c r="C19" s="2" t="s">
        <v>2114</v>
      </c>
      <c r="D19" s="2" t="s">
        <v>103</v>
      </c>
      <c r="E19" s="4">
        <v>20</v>
      </c>
      <c r="F19" s="4">
        <v>6500</v>
      </c>
      <c r="G19" s="4">
        <v>130000</v>
      </c>
      <c r="H19" s="4">
        <v>0</v>
      </c>
      <c r="I19" s="4">
        <v>0</v>
      </c>
      <c r="J19" s="4">
        <v>20</v>
      </c>
      <c r="K19" s="4">
        <v>130000</v>
      </c>
      <c r="L19" s="2"/>
      <c r="M19" s="2" t="s">
        <v>2097</v>
      </c>
      <c r="N19" s="2" t="s">
        <v>1143</v>
      </c>
      <c r="O19" s="2"/>
    </row>
    <row r="20" spans="1:15" ht="27.6">
      <c r="A20" s="2">
        <v>202</v>
      </c>
      <c r="B20" s="2">
        <v>3.6</v>
      </c>
      <c r="C20" s="2" t="s">
        <v>2115</v>
      </c>
      <c r="D20" s="2" t="s">
        <v>103</v>
      </c>
      <c r="E20" s="4">
        <v>50</v>
      </c>
      <c r="F20" s="4">
        <v>4500</v>
      </c>
      <c r="G20" s="4">
        <v>225000</v>
      </c>
      <c r="H20" s="4">
        <v>0</v>
      </c>
      <c r="I20" s="4">
        <v>0</v>
      </c>
      <c r="J20" s="4">
        <v>50</v>
      </c>
      <c r="K20" s="4">
        <v>225000</v>
      </c>
      <c r="L20" s="2"/>
      <c r="M20" s="2" t="s">
        <v>2097</v>
      </c>
      <c r="N20" s="2" t="s">
        <v>1143</v>
      </c>
      <c r="O20" s="2"/>
    </row>
    <row r="21" spans="1:15" ht="27.6">
      <c r="A21" s="2">
        <v>204</v>
      </c>
      <c r="B21" s="2">
        <v>3.7</v>
      </c>
      <c r="C21" s="2" t="s">
        <v>2116</v>
      </c>
      <c r="D21" s="2" t="s">
        <v>103</v>
      </c>
      <c r="E21" s="4">
        <v>30</v>
      </c>
      <c r="F21" s="4">
        <v>4500</v>
      </c>
      <c r="G21" s="4">
        <v>135000</v>
      </c>
      <c r="H21" s="4">
        <v>0</v>
      </c>
      <c r="I21" s="4">
        <v>0</v>
      </c>
      <c r="J21" s="4">
        <v>30</v>
      </c>
      <c r="K21" s="4">
        <v>135000</v>
      </c>
      <c r="L21" s="2"/>
      <c r="M21" s="2" t="s">
        <v>2097</v>
      </c>
      <c r="N21" s="2" t="s">
        <v>1143</v>
      </c>
      <c r="O21" s="2"/>
    </row>
    <row r="22" spans="1:15" ht="27.6">
      <c r="A22" s="2">
        <v>206</v>
      </c>
      <c r="B22" s="2">
        <v>3.8</v>
      </c>
      <c r="C22" s="2" t="s">
        <v>2117</v>
      </c>
      <c r="D22" s="2" t="s">
        <v>103</v>
      </c>
      <c r="E22" s="4">
        <v>12</v>
      </c>
      <c r="F22" s="4">
        <v>4500</v>
      </c>
      <c r="G22" s="4">
        <v>54000</v>
      </c>
      <c r="H22" s="4">
        <v>0</v>
      </c>
      <c r="I22" s="4">
        <v>0</v>
      </c>
      <c r="J22" s="4">
        <v>12</v>
      </c>
      <c r="K22" s="4">
        <v>54000</v>
      </c>
      <c r="L22" s="2"/>
      <c r="M22" s="2" t="s">
        <v>2097</v>
      </c>
      <c r="N22" s="2" t="s">
        <v>1143</v>
      </c>
      <c r="O22" s="2"/>
    </row>
    <row r="23" spans="1:15" ht="27.6">
      <c r="A23" s="2">
        <v>208</v>
      </c>
      <c r="B23" s="2">
        <v>3.9</v>
      </c>
      <c r="C23" s="2" t="s">
        <v>2118</v>
      </c>
      <c r="D23" s="2" t="s">
        <v>103</v>
      </c>
      <c r="E23" s="4">
        <v>14</v>
      </c>
      <c r="F23" s="4">
        <v>4500</v>
      </c>
      <c r="G23" s="4">
        <v>63000</v>
      </c>
      <c r="H23" s="4">
        <v>0</v>
      </c>
      <c r="I23" s="4">
        <v>0</v>
      </c>
      <c r="J23" s="4">
        <v>14</v>
      </c>
      <c r="K23" s="4">
        <v>63000</v>
      </c>
      <c r="L23" s="2"/>
      <c r="M23" s="2" t="s">
        <v>2097</v>
      </c>
      <c r="N23" s="2" t="s">
        <v>1143</v>
      </c>
      <c r="O23" s="2"/>
    </row>
    <row r="24" spans="1:15" ht="27.6">
      <c r="A24" s="2">
        <v>210</v>
      </c>
      <c r="B24" s="2" t="s">
        <v>2119</v>
      </c>
      <c r="C24" s="2" t="s">
        <v>2120</v>
      </c>
      <c r="D24" s="2" t="s">
        <v>103</v>
      </c>
      <c r="E24" s="4">
        <v>25</v>
      </c>
      <c r="F24" s="4">
        <v>6500</v>
      </c>
      <c r="G24" s="4">
        <v>162500</v>
      </c>
      <c r="H24" s="4">
        <v>0</v>
      </c>
      <c r="I24" s="4">
        <v>0</v>
      </c>
      <c r="J24" s="4">
        <v>25</v>
      </c>
      <c r="K24" s="4">
        <v>162500</v>
      </c>
      <c r="L24" s="2"/>
      <c r="M24" s="2" t="s">
        <v>2097</v>
      </c>
      <c r="N24" s="2" t="s">
        <v>1143</v>
      </c>
      <c r="O24" s="2"/>
    </row>
    <row r="25" spans="1:15" ht="41.4">
      <c r="A25" s="2">
        <v>212</v>
      </c>
      <c r="B25" s="2" t="s">
        <v>2121</v>
      </c>
      <c r="C25" s="2" t="s">
        <v>2122</v>
      </c>
      <c r="D25" s="2" t="s">
        <v>103</v>
      </c>
      <c r="E25" s="4">
        <v>5</v>
      </c>
      <c r="F25" s="4">
        <v>35000</v>
      </c>
      <c r="G25" s="4">
        <v>175000</v>
      </c>
      <c r="H25" s="4">
        <v>0</v>
      </c>
      <c r="I25" s="4">
        <v>0</v>
      </c>
      <c r="J25" s="4">
        <v>5</v>
      </c>
      <c r="K25" s="4">
        <v>175000</v>
      </c>
      <c r="L25" s="2" t="s">
        <v>2109</v>
      </c>
      <c r="M25" s="2" t="s">
        <v>2097</v>
      </c>
      <c r="N25" s="2" t="s">
        <v>1143</v>
      </c>
      <c r="O25" s="2"/>
    </row>
    <row r="26" spans="1:15" ht="27.6">
      <c r="A26" s="2">
        <v>214</v>
      </c>
      <c r="B26" s="2" t="s">
        <v>2123</v>
      </c>
      <c r="C26" s="2" t="s">
        <v>2124</v>
      </c>
      <c r="D26" s="2" t="s">
        <v>103</v>
      </c>
      <c r="E26" s="4">
        <v>20</v>
      </c>
      <c r="F26" s="4">
        <v>6500</v>
      </c>
      <c r="G26" s="4">
        <v>130000</v>
      </c>
      <c r="H26" s="4">
        <v>0</v>
      </c>
      <c r="I26" s="4">
        <v>0</v>
      </c>
      <c r="J26" s="4">
        <v>20</v>
      </c>
      <c r="K26" s="4">
        <v>130000</v>
      </c>
      <c r="L26" s="2"/>
      <c r="M26" s="2" t="s">
        <v>2097</v>
      </c>
      <c r="N26" s="2" t="s">
        <v>1143</v>
      </c>
      <c r="O26" s="2"/>
    </row>
    <row r="27" spans="1:15" ht="41.4">
      <c r="A27" s="2">
        <v>218</v>
      </c>
      <c r="B27" s="2">
        <v>4.0999999999999996</v>
      </c>
      <c r="C27" s="2" t="s">
        <v>2125</v>
      </c>
      <c r="D27" s="2" t="s">
        <v>103</v>
      </c>
      <c r="E27" s="4">
        <v>20</v>
      </c>
      <c r="F27" s="4">
        <v>25000</v>
      </c>
      <c r="G27" s="4">
        <v>500000</v>
      </c>
      <c r="H27" s="4">
        <v>0</v>
      </c>
      <c r="I27" s="4">
        <v>0</v>
      </c>
      <c r="J27" s="4">
        <v>20</v>
      </c>
      <c r="K27" s="4">
        <v>500000</v>
      </c>
      <c r="L27" s="2" t="s">
        <v>2109</v>
      </c>
      <c r="M27" s="2" t="s">
        <v>2097</v>
      </c>
      <c r="N27" s="2" t="s">
        <v>1143</v>
      </c>
      <c r="O27" s="2"/>
    </row>
    <row r="28" spans="1:15" ht="41.4">
      <c r="A28" s="2">
        <v>220</v>
      </c>
      <c r="B28" s="2">
        <v>4.2</v>
      </c>
      <c r="C28" s="2" t="s">
        <v>2126</v>
      </c>
      <c r="D28" s="2" t="s">
        <v>103</v>
      </c>
      <c r="E28" s="4">
        <v>5</v>
      </c>
      <c r="F28" s="4">
        <v>8500</v>
      </c>
      <c r="G28" s="4">
        <v>42500</v>
      </c>
      <c r="H28" s="4">
        <v>0</v>
      </c>
      <c r="I28" s="4">
        <v>0</v>
      </c>
      <c r="J28" s="4">
        <v>5</v>
      </c>
      <c r="K28" s="4">
        <v>42500</v>
      </c>
      <c r="L28" s="2" t="s">
        <v>2109</v>
      </c>
      <c r="M28" s="2" t="s">
        <v>2097</v>
      </c>
      <c r="N28" s="2" t="s">
        <v>1143</v>
      </c>
      <c r="O28" s="2"/>
    </row>
    <row r="29" spans="1:15" ht="41.4">
      <c r="A29" s="2">
        <v>222</v>
      </c>
      <c r="B29" s="2">
        <v>4.3</v>
      </c>
      <c r="C29" s="2" t="s">
        <v>2127</v>
      </c>
      <c r="D29" s="2" t="s">
        <v>103</v>
      </c>
      <c r="E29" s="4">
        <v>30</v>
      </c>
      <c r="F29" s="4">
        <v>8500</v>
      </c>
      <c r="G29" s="4">
        <v>255000</v>
      </c>
      <c r="H29" s="4">
        <v>0</v>
      </c>
      <c r="I29" s="4">
        <v>0</v>
      </c>
      <c r="J29" s="4">
        <v>30</v>
      </c>
      <c r="K29" s="4">
        <v>255000</v>
      </c>
      <c r="L29" s="2" t="s">
        <v>2109</v>
      </c>
      <c r="M29" s="2" t="s">
        <v>2097</v>
      </c>
      <c r="N29" s="2" t="s">
        <v>1143</v>
      </c>
      <c r="O29" s="2"/>
    </row>
    <row r="30" spans="1:15" ht="41.4">
      <c r="A30" s="2">
        <v>224</v>
      </c>
      <c r="B30" s="2">
        <v>4.4000000000000004</v>
      </c>
      <c r="C30" s="2" t="s">
        <v>2128</v>
      </c>
      <c r="D30" s="2" t="s">
        <v>103</v>
      </c>
      <c r="E30" s="4">
        <v>10</v>
      </c>
      <c r="F30" s="4">
        <v>2000</v>
      </c>
      <c r="G30" s="4">
        <v>20000</v>
      </c>
      <c r="H30" s="4">
        <v>0</v>
      </c>
      <c r="I30" s="4">
        <v>0</v>
      </c>
      <c r="J30" s="4">
        <v>10</v>
      </c>
      <c r="K30" s="4">
        <v>20000</v>
      </c>
      <c r="L30" s="2" t="s">
        <v>2109</v>
      </c>
      <c r="M30" s="2" t="s">
        <v>2097</v>
      </c>
      <c r="N30" s="2" t="s">
        <v>1143</v>
      </c>
      <c r="O30" s="2"/>
    </row>
    <row r="31" spans="1:15" ht="41.4">
      <c r="A31" s="2">
        <v>226</v>
      </c>
      <c r="B31" s="2">
        <v>4.5</v>
      </c>
      <c r="C31" s="2" t="s">
        <v>2129</v>
      </c>
      <c r="D31" s="2" t="s">
        <v>103</v>
      </c>
      <c r="E31" s="4">
        <v>10</v>
      </c>
      <c r="F31" s="4">
        <v>2000</v>
      </c>
      <c r="G31" s="4">
        <v>20000</v>
      </c>
      <c r="H31" s="4">
        <v>0</v>
      </c>
      <c r="I31" s="4">
        <v>0</v>
      </c>
      <c r="J31" s="4">
        <v>10</v>
      </c>
      <c r="K31" s="4">
        <v>20000</v>
      </c>
      <c r="L31" s="2" t="s">
        <v>2109</v>
      </c>
      <c r="M31" s="2" t="s">
        <v>2097</v>
      </c>
      <c r="N31" s="2" t="s">
        <v>1143</v>
      </c>
      <c r="O31" s="2"/>
    </row>
    <row r="32" spans="1:15" ht="41.4">
      <c r="A32" s="2">
        <v>228</v>
      </c>
      <c r="B32" s="2">
        <v>4.5999999999999996</v>
      </c>
      <c r="C32" s="2" t="s">
        <v>2130</v>
      </c>
      <c r="D32" s="2" t="s">
        <v>103</v>
      </c>
      <c r="E32" s="4">
        <v>10</v>
      </c>
      <c r="F32" s="4">
        <v>2000</v>
      </c>
      <c r="G32" s="4">
        <v>20000</v>
      </c>
      <c r="H32" s="4">
        <v>0</v>
      </c>
      <c r="I32" s="4">
        <v>0</v>
      </c>
      <c r="J32" s="4">
        <v>10</v>
      </c>
      <c r="K32" s="4">
        <v>20000</v>
      </c>
      <c r="L32" s="2" t="s">
        <v>2109</v>
      </c>
      <c r="M32" s="2" t="s">
        <v>2097</v>
      </c>
      <c r="N32" s="2" t="s">
        <v>1143</v>
      </c>
      <c r="O32" s="2"/>
    </row>
    <row r="33" spans="1:15" ht="41.4">
      <c r="A33" s="2">
        <v>230</v>
      </c>
      <c r="B33" s="2">
        <v>4.7</v>
      </c>
      <c r="C33" s="2" t="s">
        <v>2131</v>
      </c>
      <c r="D33" s="2" t="s">
        <v>103</v>
      </c>
      <c r="E33" s="4">
        <v>10</v>
      </c>
      <c r="F33" s="4">
        <v>2000</v>
      </c>
      <c r="G33" s="4">
        <v>20000</v>
      </c>
      <c r="H33" s="4">
        <v>0</v>
      </c>
      <c r="I33" s="4">
        <v>0</v>
      </c>
      <c r="J33" s="4">
        <v>10</v>
      </c>
      <c r="K33" s="4">
        <v>20000</v>
      </c>
      <c r="L33" s="2" t="s">
        <v>2109</v>
      </c>
      <c r="M33" s="2" t="s">
        <v>2097</v>
      </c>
      <c r="N33" s="2" t="s">
        <v>1143</v>
      </c>
      <c r="O33" s="2"/>
    </row>
    <row r="34" spans="1:15" ht="41.4">
      <c r="A34" s="2">
        <v>232</v>
      </c>
      <c r="B34" s="2">
        <v>4.8</v>
      </c>
      <c r="C34" s="2" t="s">
        <v>2132</v>
      </c>
      <c r="D34" s="2" t="s">
        <v>103</v>
      </c>
      <c r="E34" s="4">
        <v>10</v>
      </c>
      <c r="F34" s="4">
        <v>2000</v>
      </c>
      <c r="G34" s="4">
        <v>20000</v>
      </c>
      <c r="H34" s="4">
        <v>0</v>
      </c>
      <c r="I34" s="4">
        <v>0</v>
      </c>
      <c r="J34" s="4">
        <v>10</v>
      </c>
      <c r="K34" s="4">
        <v>20000</v>
      </c>
      <c r="L34" s="2" t="s">
        <v>2109</v>
      </c>
      <c r="M34" s="2" t="s">
        <v>2097</v>
      </c>
      <c r="N34" s="2" t="s">
        <v>1143</v>
      </c>
      <c r="O34" s="2"/>
    </row>
    <row r="35" spans="1:15">
      <c r="A35" s="2">
        <v>234</v>
      </c>
      <c r="B35" s="2">
        <v>9</v>
      </c>
      <c r="C35" s="2" t="s">
        <v>2133</v>
      </c>
      <c r="D35" s="2" t="s">
        <v>2134</v>
      </c>
      <c r="E35" s="4"/>
      <c r="F35" s="4"/>
      <c r="G35" s="4">
        <v>800000</v>
      </c>
      <c r="H35" s="4">
        <v>0</v>
      </c>
      <c r="I35" s="4">
        <v>0</v>
      </c>
      <c r="J35" s="4"/>
      <c r="K35" s="4">
        <v>800000</v>
      </c>
      <c r="L35" s="2"/>
      <c r="M35" s="2" t="s">
        <v>2097</v>
      </c>
      <c r="N35" s="2" t="s">
        <v>1143</v>
      </c>
      <c r="O35" s="2"/>
    </row>
    <row r="36" spans="1:15" ht="55.2">
      <c r="A36" s="2">
        <v>246</v>
      </c>
      <c r="B36" s="2"/>
      <c r="C36" s="2" t="s">
        <v>2135</v>
      </c>
      <c r="D36" s="2" t="s">
        <v>753</v>
      </c>
      <c r="E36" s="4">
        <v>177</v>
      </c>
      <c r="F36" s="4">
        <v>10500</v>
      </c>
      <c r="G36" s="4">
        <v>1858500</v>
      </c>
      <c r="H36" s="4">
        <v>40</v>
      </c>
      <c r="I36" s="4">
        <v>420000</v>
      </c>
      <c r="J36" s="4">
        <v>137</v>
      </c>
      <c r="K36" s="4">
        <v>1438500</v>
      </c>
      <c r="L36" s="2" t="s">
        <v>2136</v>
      </c>
      <c r="M36" s="2" t="s">
        <v>2137</v>
      </c>
      <c r="N36" s="2" t="s">
        <v>1151</v>
      </c>
      <c r="O36" s="2" t="s">
        <v>2138</v>
      </c>
    </row>
    <row r="37" spans="1:15" ht="27.6">
      <c r="A37" s="2">
        <v>260</v>
      </c>
      <c r="B37" s="2">
        <v>10.3</v>
      </c>
      <c r="C37" s="2" t="s">
        <v>2139</v>
      </c>
      <c r="D37" s="2" t="s">
        <v>753</v>
      </c>
      <c r="E37" s="4">
        <v>75</v>
      </c>
      <c r="F37" s="4">
        <v>16500</v>
      </c>
      <c r="G37" s="4">
        <v>1237500</v>
      </c>
      <c r="H37" s="4">
        <v>40</v>
      </c>
      <c r="I37" s="4">
        <v>660000</v>
      </c>
      <c r="J37" s="4">
        <v>35</v>
      </c>
      <c r="K37" s="4">
        <v>577500</v>
      </c>
      <c r="L37" s="2" t="s">
        <v>2140</v>
      </c>
      <c r="M37" s="2" t="s">
        <v>2137</v>
      </c>
      <c r="N37" s="2" t="s">
        <v>1151</v>
      </c>
      <c r="O37" s="2" t="s">
        <v>2141</v>
      </c>
    </row>
    <row r="38" spans="1:15">
      <c r="A38" s="2">
        <v>263</v>
      </c>
      <c r="B38" s="2">
        <v>10.4</v>
      </c>
      <c r="C38" s="2" t="s">
        <v>2142</v>
      </c>
      <c r="D38" s="2" t="s">
        <v>753</v>
      </c>
      <c r="E38" s="4">
        <v>7</v>
      </c>
      <c r="F38" s="4">
        <v>10500</v>
      </c>
      <c r="G38" s="4">
        <v>73500</v>
      </c>
      <c r="H38" s="4">
        <v>0</v>
      </c>
      <c r="I38" s="4">
        <v>0</v>
      </c>
      <c r="J38" s="4">
        <v>7</v>
      </c>
      <c r="K38" s="4">
        <v>73500</v>
      </c>
      <c r="L38" s="2"/>
      <c r="M38" s="2" t="s">
        <v>2097</v>
      </c>
      <c r="N38" s="2" t="s">
        <v>1143</v>
      </c>
      <c r="O38" s="2"/>
    </row>
    <row r="39" spans="1:15">
      <c r="A39" s="2">
        <v>266</v>
      </c>
      <c r="B39" s="2">
        <v>10.5</v>
      </c>
      <c r="C39" s="2" t="s">
        <v>2143</v>
      </c>
      <c r="D39" s="2" t="s">
        <v>753</v>
      </c>
      <c r="E39" s="4">
        <v>47</v>
      </c>
      <c r="F39" s="4">
        <v>7500</v>
      </c>
      <c r="G39" s="4">
        <v>352500</v>
      </c>
      <c r="H39" s="4">
        <v>0</v>
      </c>
      <c r="I39" s="4">
        <v>0</v>
      </c>
      <c r="J39" s="4">
        <v>47</v>
      </c>
      <c r="K39" s="4">
        <v>352500</v>
      </c>
      <c r="L39" s="2"/>
      <c r="M39" s="2" t="s">
        <v>2097</v>
      </c>
      <c r="N39" s="2" t="s">
        <v>1143</v>
      </c>
      <c r="O39" s="2"/>
    </row>
    <row r="40" spans="1:15">
      <c r="A40" s="2">
        <v>269</v>
      </c>
      <c r="B40" s="2">
        <v>10.6</v>
      </c>
      <c r="C40" s="2" t="s">
        <v>2144</v>
      </c>
      <c r="D40" s="2" t="s">
        <v>753</v>
      </c>
      <c r="E40" s="4">
        <v>28</v>
      </c>
      <c r="F40" s="4">
        <v>11300</v>
      </c>
      <c r="G40" s="4">
        <v>316400</v>
      </c>
      <c r="H40" s="4">
        <v>0</v>
      </c>
      <c r="I40" s="4">
        <v>0</v>
      </c>
      <c r="J40" s="4">
        <v>28</v>
      </c>
      <c r="K40" s="4">
        <v>316400</v>
      </c>
      <c r="L40" s="2"/>
      <c r="M40" s="2" t="s">
        <v>2097</v>
      </c>
      <c r="N40" s="2" t="s">
        <v>1143</v>
      </c>
      <c r="O40" s="2"/>
    </row>
    <row r="41" spans="1:15">
      <c r="A41" s="2">
        <v>272</v>
      </c>
      <c r="B41" s="2">
        <v>10.7</v>
      </c>
      <c r="C41" s="2" t="s">
        <v>2145</v>
      </c>
      <c r="D41" s="2" t="s">
        <v>753</v>
      </c>
      <c r="E41" s="4">
        <v>14</v>
      </c>
      <c r="F41" s="4">
        <v>8500</v>
      </c>
      <c r="G41" s="4">
        <v>119000</v>
      </c>
      <c r="H41" s="4">
        <v>0</v>
      </c>
      <c r="I41" s="4">
        <v>0</v>
      </c>
      <c r="J41" s="4">
        <v>14</v>
      </c>
      <c r="K41" s="4">
        <v>119000</v>
      </c>
      <c r="L41" s="2"/>
      <c r="M41" s="2" t="s">
        <v>2097</v>
      </c>
      <c r="N41" s="2" t="s">
        <v>1143</v>
      </c>
      <c r="O41" s="2"/>
    </row>
    <row r="42" spans="1:15">
      <c r="A42" s="2">
        <v>275</v>
      </c>
      <c r="B42" s="2">
        <v>10.8</v>
      </c>
      <c r="C42" s="2" t="s">
        <v>2146</v>
      </c>
      <c r="D42" s="2" t="s">
        <v>753</v>
      </c>
      <c r="E42" s="4">
        <v>6</v>
      </c>
      <c r="F42" s="4">
        <v>9500</v>
      </c>
      <c r="G42" s="4">
        <v>57000</v>
      </c>
      <c r="H42" s="4">
        <v>0</v>
      </c>
      <c r="I42" s="4">
        <v>0</v>
      </c>
      <c r="J42" s="4">
        <v>6</v>
      </c>
      <c r="K42" s="4">
        <v>57000</v>
      </c>
      <c r="L42" s="2"/>
      <c r="M42" s="2" t="s">
        <v>2097</v>
      </c>
      <c r="N42" s="2" t="s">
        <v>1143</v>
      </c>
      <c r="O42" s="2"/>
    </row>
    <row r="43" spans="1:15" ht="70.95" customHeight="1">
      <c r="A43" s="2">
        <v>280</v>
      </c>
      <c r="B43" s="2"/>
      <c r="C43" s="2" t="s">
        <v>2147</v>
      </c>
      <c r="D43" s="2" t="s">
        <v>753</v>
      </c>
      <c r="E43" s="4">
        <v>6</v>
      </c>
      <c r="F43" s="4">
        <v>11500</v>
      </c>
      <c r="G43" s="4">
        <v>69000</v>
      </c>
      <c r="H43" s="4">
        <v>0</v>
      </c>
      <c r="I43" s="4">
        <v>0</v>
      </c>
      <c r="J43" s="4">
        <v>6</v>
      </c>
      <c r="K43" s="4">
        <v>69000</v>
      </c>
      <c r="L43" s="2"/>
      <c r="M43" s="2" t="s">
        <v>2097</v>
      </c>
      <c r="N43" s="2" t="s">
        <v>1143</v>
      </c>
      <c r="O43" s="2"/>
    </row>
    <row r="44" spans="1:15" ht="88.95" customHeight="1">
      <c r="A44" s="2">
        <v>283</v>
      </c>
      <c r="B44" s="2"/>
      <c r="C44" s="2" t="s">
        <v>2148</v>
      </c>
      <c r="D44" s="2" t="s">
        <v>753</v>
      </c>
      <c r="E44" s="4">
        <v>6</v>
      </c>
      <c r="F44" s="4">
        <v>35000</v>
      </c>
      <c r="G44" s="4">
        <v>210000</v>
      </c>
      <c r="H44" s="4">
        <v>0</v>
      </c>
      <c r="I44" s="4">
        <v>0</v>
      </c>
      <c r="J44" s="4">
        <v>6</v>
      </c>
      <c r="K44" s="4">
        <v>210000</v>
      </c>
      <c r="L44" s="2"/>
      <c r="M44" s="2" t="s">
        <v>2097</v>
      </c>
      <c r="N44" s="2" t="s">
        <v>1143</v>
      </c>
      <c r="O44" s="2"/>
    </row>
    <row r="45" spans="1:15" ht="55.2">
      <c r="A45" s="2">
        <v>287</v>
      </c>
      <c r="B45" s="2"/>
      <c r="C45" s="2" t="s">
        <v>2149</v>
      </c>
      <c r="D45" s="2" t="s">
        <v>753</v>
      </c>
      <c r="E45" s="4">
        <v>212</v>
      </c>
      <c r="F45" s="4">
        <v>13500</v>
      </c>
      <c r="G45" s="4">
        <v>2862000</v>
      </c>
      <c r="H45" s="4">
        <v>80</v>
      </c>
      <c r="I45" s="4">
        <v>1080000</v>
      </c>
      <c r="J45" s="4">
        <v>132</v>
      </c>
      <c r="K45" s="4">
        <v>1782000</v>
      </c>
      <c r="L45" s="2" t="s">
        <v>2150</v>
      </c>
      <c r="M45" s="2" t="s">
        <v>2137</v>
      </c>
      <c r="N45" s="2" t="s">
        <v>1143</v>
      </c>
      <c r="O45" s="2" t="s">
        <v>2151</v>
      </c>
    </row>
    <row r="46" spans="1:15" ht="41.4">
      <c r="A46" s="2">
        <v>289</v>
      </c>
      <c r="B46" s="2">
        <v>11.1</v>
      </c>
      <c r="C46" s="2" t="s">
        <v>2152</v>
      </c>
      <c r="D46" s="2" t="s">
        <v>753</v>
      </c>
      <c r="E46" s="4">
        <v>212</v>
      </c>
      <c r="F46" s="4">
        <v>1850</v>
      </c>
      <c r="G46" s="4">
        <v>392200</v>
      </c>
      <c r="H46" s="4">
        <v>80</v>
      </c>
      <c r="I46" s="4">
        <v>148000</v>
      </c>
      <c r="J46" s="4">
        <v>132</v>
      </c>
      <c r="K46" s="4">
        <v>244200</v>
      </c>
      <c r="L46" s="2" t="s">
        <v>2153</v>
      </c>
      <c r="M46" s="2" t="s">
        <v>2137</v>
      </c>
      <c r="N46" s="2" t="s">
        <v>1143</v>
      </c>
      <c r="O46" s="2" t="s">
        <v>2154</v>
      </c>
    </row>
    <row r="47" spans="1:15" ht="41.4">
      <c r="A47" s="2">
        <v>293</v>
      </c>
      <c r="B47" s="2">
        <v>12</v>
      </c>
      <c r="C47" s="2" t="s">
        <v>2155</v>
      </c>
      <c r="D47" s="2" t="s">
        <v>753</v>
      </c>
      <c r="E47" s="4">
        <v>4</v>
      </c>
      <c r="F47" s="4">
        <v>1250000</v>
      </c>
      <c r="G47" s="4">
        <v>5000000</v>
      </c>
      <c r="H47" s="4">
        <v>0</v>
      </c>
      <c r="I47" s="4">
        <v>0</v>
      </c>
      <c r="J47" s="4">
        <v>4</v>
      </c>
      <c r="K47" s="4">
        <v>5000000</v>
      </c>
      <c r="L47" s="2" t="s">
        <v>2156</v>
      </c>
      <c r="M47" s="2" t="s">
        <v>2097</v>
      </c>
      <c r="N47" s="2" t="s">
        <v>1151</v>
      </c>
      <c r="O47" s="2"/>
    </row>
    <row r="48" spans="1:15" ht="82.8">
      <c r="A48" s="2">
        <v>302</v>
      </c>
      <c r="B48" s="2"/>
      <c r="C48" s="2" t="s">
        <v>2157</v>
      </c>
      <c r="D48" s="2" t="s">
        <v>619</v>
      </c>
      <c r="E48" s="4"/>
      <c r="F48" s="4"/>
      <c r="G48" s="4">
        <v>40000</v>
      </c>
      <c r="H48" s="4">
        <v>0</v>
      </c>
      <c r="I48" s="4">
        <v>0</v>
      </c>
      <c r="J48" s="4"/>
      <c r="K48" s="4">
        <v>40000</v>
      </c>
      <c r="L48" s="2"/>
      <c r="M48" s="2" t="s">
        <v>2097</v>
      </c>
      <c r="N48" s="2" t="s">
        <v>1143</v>
      </c>
      <c r="O48" s="2"/>
    </row>
    <row r="49" spans="1:15" ht="41.4">
      <c r="A49" s="2">
        <v>306</v>
      </c>
      <c r="B49" s="2"/>
      <c r="C49" s="2" t="s">
        <v>2158</v>
      </c>
      <c r="D49" s="2" t="s">
        <v>619</v>
      </c>
      <c r="E49" s="4"/>
      <c r="F49" s="4"/>
      <c r="G49" s="4">
        <v>80000</v>
      </c>
      <c r="H49" s="4">
        <v>0</v>
      </c>
      <c r="I49" s="4">
        <v>0</v>
      </c>
      <c r="J49" s="4"/>
      <c r="K49" s="4">
        <v>80000</v>
      </c>
      <c r="L49" s="2" t="s">
        <v>2159</v>
      </c>
      <c r="M49" s="2" t="s">
        <v>2097</v>
      </c>
      <c r="N49" s="2" t="s">
        <v>1143</v>
      </c>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ht="27.6">
      <c r="A52" s="2"/>
      <c r="B52" s="2"/>
      <c r="C52" s="2"/>
      <c r="D52" s="2"/>
      <c r="E52" s="2"/>
      <c r="F52" s="2" t="s">
        <v>2160</v>
      </c>
      <c r="G52" s="2"/>
      <c r="H52" s="2"/>
      <c r="I52" s="2"/>
      <c r="J52" s="2"/>
      <c r="K52" s="4">
        <f>SUM(G5:G49)</f>
        <v>21039600</v>
      </c>
      <c r="L52" s="2"/>
      <c r="M52" s="2"/>
      <c r="N52" s="2"/>
      <c r="O52" s="2"/>
    </row>
    <row r="53" spans="1:15" ht="41.4">
      <c r="A53" s="2"/>
      <c r="B53" s="2"/>
      <c r="C53" s="2"/>
      <c r="D53" s="2"/>
      <c r="E53" s="2"/>
      <c r="F53" s="2" t="s">
        <v>2161</v>
      </c>
      <c r="G53" s="2"/>
      <c r="H53" s="2"/>
      <c r="I53" s="2"/>
      <c r="J53" s="2"/>
      <c r="K53" s="4">
        <f>SUM(I5:I49)</f>
        <v>2308000</v>
      </c>
      <c r="L53" s="2"/>
      <c r="M53" s="2"/>
      <c r="N53" s="2"/>
      <c r="O53" s="2"/>
    </row>
    <row r="54" spans="1:15" ht="41.4">
      <c r="A54" s="2"/>
      <c r="B54" s="2"/>
      <c r="C54" s="2"/>
      <c r="D54" s="2"/>
      <c r="E54" s="2"/>
      <c r="F54" s="2" t="s">
        <v>2162</v>
      </c>
      <c r="G54" s="2"/>
      <c r="H54" s="2"/>
      <c r="I54" s="2"/>
      <c r="J54" s="2"/>
      <c r="K54" s="4">
        <f>SUM(K5:K49)</f>
        <v>18731600</v>
      </c>
      <c r="L54" s="2"/>
      <c r="M54" s="2"/>
      <c r="N54" s="2"/>
      <c r="O54" s="2"/>
    </row>
    <row r="55" spans="1:15" ht="41.4">
      <c r="A55" s="2"/>
      <c r="B55" s="2"/>
      <c r="C55" s="2"/>
      <c r="D55" s="2"/>
      <c r="E55" s="2"/>
      <c r="F55" s="2" t="s">
        <v>1116</v>
      </c>
      <c r="G55" s="2"/>
      <c r="H55" s="2"/>
      <c r="I55" s="2"/>
      <c r="J55" s="2"/>
      <c r="K55" s="11">
        <v>0.1</v>
      </c>
      <c r="L55" s="2"/>
      <c r="M55" s="2"/>
      <c r="N55" s="2"/>
      <c r="O55" s="2"/>
    </row>
    <row r="56" spans="1:15" ht="27.6">
      <c r="A56" s="2"/>
      <c r="B56" s="2"/>
      <c r="C56" s="2"/>
      <c r="D56" s="2"/>
      <c r="E56" s="2"/>
      <c r="F56" s="2" t="s">
        <v>1117</v>
      </c>
      <c r="G56" s="2"/>
      <c r="H56" s="2"/>
      <c r="I56" s="2"/>
      <c r="J56" s="2"/>
      <c r="K56" s="4">
        <f>K54*K55</f>
        <v>1873160</v>
      </c>
      <c r="L56" s="2"/>
      <c r="M56" s="2"/>
      <c r="N56" s="2"/>
      <c r="O56" s="2"/>
    </row>
    <row r="57" spans="1:15" ht="41.4">
      <c r="A57" s="2"/>
      <c r="B57" s="2"/>
      <c r="C57" s="2"/>
      <c r="D57" s="2"/>
      <c r="E57" s="2"/>
      <c r="F57" s="2" t="s">
        <v>1118</v>
      </c>
      <c r="G57" s="2"/>
      <c r="H57" s="2"/>
      <c r="I57" s="2"/>
      <c r="J57" s="2"/>
      <c r="K57" s="4">
        <f>K54+K56</f>
        <v>20604760</v>
      </c>
      <c r="L57" s="2"/>
      <c r="M57" s="2"/>
      <c r="N57" s="2"/>
      <c r="O57" s="2"/>
    </row>
    <row r="58" spans="1:15">
      <c r="A58" s="2"/>
      <c r="B58" s="2"/>
      <c r="C58" s="2"/>
      <c r="D58" s="2"/>
      <c r="E58" s="2"/>
      <c r="F58" s="2" t="s">
        <v>3</v>
      </c>
      <c r="G58" s="2"/>
      <c r="H58" s="2"/>
      <c r="I58" s="2"/>
      <c r="J58" s="2"/>
      <c r="K58" s="2" t="s">
        <v>1119</v>
      </c>
      <c r="L58" s="2"/>
      <c r="M58" s="2"/>
      <c r="N58" s="2"/>
      <c r="O58" s="2"/>
    </row>
  </sheetData>
  <mergeCells count="2">
    <mergeCell ref="A1:O1"/>
    <mergeCell ref="A2:O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5"/>
  <sheetViews>
    <sheetView zoomScale="69" zoomScaleNormal="69" workbookViewId="0">
      <selection sqref="A1:H1"/>
    </sheetView>
  </sheetViews>
  <sheetFormatPr defaultRowHeight="13.8"/>
  <cols>
    <col min="1" max="1" width="29" customWidth="1"/>
    <col min="2" max="2" width="32" customWidth="1"/>
    <col min="3" max="3" width="33" customWidth="1"/>
    <col min="4" max="4" width="30" customWidth="1"/>
    <col min="5" max="6" width="28" customWidth="1"/>
    <col min="7" max="7" width="16" customWidth="1"/>
    <col min="8" max="8" width="33" customWidth="1"/>
  </cols>
  <sheetData>
    <row r="1" spans="1:8" ht="17.399999999999999">
      <c r="A1" s="125" t="s">
        <v>2163</v>
      </c>
      <c r="B1" s="125"/>
      <c r="C1" s="125"/>
      <c r="D1" s="125"/>
      <c r="E1" s="125"/>
      <c r="F1" s="125"/>
      <c r="G1" s="125"/>
      <c r="H1" s="125"/>
    </row>
    <row r="2" spans="1:8">
      <c r="A2" s="2"/>
      <c r="B2" s="2"/>
      <c r="C2" s="2"/>
      <c r="D2" s="2"/>
      <c r="E2" s="2"/>
      <c r="F2" s="2"/>
      <c r="G2" s="2"/>
      <c r="H2" s="2"/>
    </row>
    <row r="3" spans="1:8">
      <c r="A3" s="16" t="s">
        <v>1121</v>
      </c>
      <c r="B3" s="16" t="s">
        <v>2164</v>
      </c>
      <c r="C3" s="16" t="s">
        <v>2165</v>
      </c>
      <c r="D3" s="16" t="s">
        <v>2166</v>
      </c>
      <c r="E3" s="16" t="s">
        <v>2167</v>
      </c>
      <c r="F3" s="16" t="s">
        <v>1125</v>
      </c>
      <c r="G3" s="16" t="s">
        <v>1127</v>
      </c>
      <c r="H3" s="16" t="s">
        <v>2168</v>
      </c>
    </row>
    <row r="4" spans="1:8" ht="41.4">
      <c r="A4" s="2" t="s">
        <v>2169</v>
      </c>
      <c r="B4" s="2" t="s">
        <v>2170</v>
      </c>
      <c r="C4" s="2" t="s">
        <v>2171</v>
      </c>
      <c r="D4" s="2" t="s">
        <v>2172</v>
      </c>
      <c r="E4" s="2" t="s">
        <v>2173</v>
      </c>
      <c r="F4" s="2" t="s">
        <v>2174</v>
      </c>
      <c r="G4" s="2" t="s">
        <v>1151</v>
      </c>
      <c r="H4" s="2" t="s">
        <v>2175</v>
      </c>
    </row>
    <row r="5" spans="1:8" ht="41.4">
      <c r="A5" s="2" t="s">
        <v>2176</v>
      </c>
      <c r="B5" s="2" t="s">
        <v>2177</v>
      </c>
      <c r="C5" s="2" t="s">
        <v>2178</v>
      </c>
      <c r="D5" s="2" t="s">
        <v>2179</v>
      </c>
      <c r="E5" s="2" t="s">
        <v>2180</v>
      </c>
      <c r="F5" s="2" t="s">
        <v>2181</v>
      </c>
      <c r="G5" s="2" t="s">
        <v>1143</v>
      </c>
      <c r="H5" s="2" t="s">
        <v>2182</v>
      </c>
    </row>
    <row r="6" spans="1:8" ht="55.2">
      <c r="A6" s="2" t="s">
        <v>2183</v>
      </c>
      <c r="B6" s="2" t="s">
        <v>2184</v>
      </c>
      <c r="C6" s="2" t="s">
        <v>2185</v>
      </c>
      <c r="D6" s="2" t="s">
        <v>2186</v>
      </c>
      <c r="E6" s="2" t="s">
        <v>2187</v>
      </c>
      <c r="F6" s="2" t="s">
        <v>2188</v>
      </c>
      <c r="G6" s="2" t="s">
        <v>1189</v>
      </c>
      <c r="H6" s="2" t="s">
        <v>2189</v>
      </c>
    </row>
    <row r="7" spans="1:8" ht="41.4">
      <c r="A7" s="2" t="s">
        <v>2190</v>
      </c>
      <c r="B7" s="2" t="s">
        <v>2191</v>
      </c>
      <c r="C7" s="2" t="s">
        <v>2192</v>
      </c>
      <c r="D7" s="2" t="s">
        <v>2097</v>
      </c>
      <c r="E7" s="2" t="s">
        <v>2187</v>
      </c>
      <c r="F7" s="2" t="s">
        <v>2193</v>
      </c>
      <c r="G7" s="2" t="s">
        <v>1151</v>
      </c>
      <c r="H7" s="2" t="s">
        <v>2194</v>
      </c>
    </row>
    <row r="8" spans="1:8" ht="41.4">
      <c r="A8" s="2" t="s">
        <v>2195</v>
      </c>
      <c r="B8" s="2" t="s">
        <v>2196</v>
      </c>
      <c r="C8" s="2" t="s">
        <v>2197</v>
      </c>
      <c r="D8" s="2" t="s">
        <v>2198</v>
      </c>
      <c r="E8" s="2" t="s">
        <v>2199</v>
      </c>
      <c r="F8" s="2" t="s">
        <v>2200</v>
      </c>
      <c r="G8" s="2" t="s">
        <v>1143</v>
      </c>
      <c r="H8" s="2" t="s">
        <v>2201</v>
      </c>
    </row>
    <row r="9" spans="1:8" ht="41.4">
      <c r="A9" s="2" t="s">
        <v>2202</v>
      </c>
      <c r="B9" s="2" t="s">
        <v>2203</v>
      </c>
      <c r="C9" s="2" t="s">
        <v>2204</v>
      </c>
      <c r="D9" s="2" t="s">
        <v>2097</v>
      </c>
      <c r="E9" s="2" t="s">
        <v>2187</v>
      </c>
      <c r="F9" s="2" t="s">
        <v>2205</v>
      </c>
      <c r="G9" s="2" t="s">
        <v>1182</v>
      </c>
      <c r="H9" s="2" t="s">
        <v>2206</v>
      </c>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sheetData>
  <mergeCells count="1">
    <mergeCell ref="A1:H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workbookViewId="0">
      <selection sqref="A1:H1"/>
    </sheetView>
  </sheetViews>
  <sheetFormatPr defaultRowHeight="13.8"/>
  <cols>
    <col min="1" max="1" width="31" customWidth="1"/>
    <col min="2" max="2" width="36" customWidth="1"/>
    <col min="3" max="3" width="34" customWidth="1"/>
    <col min="4" max="4" width="20" customWidth="1"/>
    <col min="5" max="5" width="30" customWidth="1"/>
    <col min="6" max="6" width="31" customWidth="1"/>
    <col min="7" max="7" width="15" customWidth="1"/>
    <col min="8" max="8" width="36" customWidth="1"/>
  </cols>
  <sheetData>
    <row r="1" spans="1:8" ht="17.399999999999999">
      <c r="A1" s="125" t="s">
        <v>2291</v>
      </c>
      <c r="B1" s="125"/>
      <c r="C1" s="125"/>
      <c r="D1" s="125"/>
      <c r="E1" s="125"/>
      <c r="F1" s="125"/>
      <c r="G1" s="125"/>
      <c r="H1" s="125"/>
    </row>
    <row r="2" spans="1:8">
      <c r="A2" s="2"/>
      <c r="B2" s="2"/>
      <c r="C2" s="2"/>
      <c r="D2" s="2"/>
      <c r="E2" s="2"/>
      <c r="F2" s="2"/>
      <c r="G2" s="2"/>
      <c r="H2" s="2"/>
    </row>
    <row r="3" spans="1:8">
      <c r="A3" s="16" t="s">
        <v>2292</v>
      </c>
      <c r="B3" s="16" t="s">
        <v>2293</v>
      </c>
      <c r="C3" s="16" t="s">
        <v>2166</v>
      </c>
      <c r="D3" s="16" t="s">
        <v>2294</v>
      </c>
      <c r="E3" s="16" t="s">
        <v>2295</v>
      </c>
      <c r="F3" s="16" t="s">
        <v>1125</v>
      </c>
      <c r="G3" s="16" t="s">
        <v>1127</v>
      </c>
      <c r="H3" s="16" t="s">
        <v>1358</v>
      </c>
    </row>
    <row r="4" spans="1:8" ht="41.4">
      <c r="A4" s="2" t="s">
        <v>2296</v>
      </c>
      <c r="B4" s="2" t="s">
        <v>2297</v>
      </c>
      <c r="C4" s="2" t="s">
        <v>2298</v>
      </c>
      <c r="D4" s="2" t="s">
        <v>2299</v>
      </c>
      <c r="E4" s="2" t="s">
        <v>2300</v>
      </c>
      <c r="F4" s="2" t="s">
        <v>2301</v>
      </c>
      <c r="G4" s="2" t="s">
        <v>1143</v>
      </c>
      <c r="H4" s="2" t="s">
        <v>2302</v>
      </c>
    </row>
    <row r="5" spans="1:8" ht="27.6">
      <c r="A5" s="2" t="s">
        <v>2303</v>
      </c>
      <c r="B5" s="2" t="s">
        <v>2304</v>
      </c>
      <c r="C5" s="2" t="s">
        <v>2305</v>
      </c>
      <c r="D5" s="2" t="s">
        <v>2306</v>
      </c>
      <c r="E5" s="2" t="s">
        <v>2261</v>
      </c>
      <c r="F5" s="2" t="s">
        <v>2307</v>
      </c>
      <c r="G5" s="2" t="s">
        <v>1143</v>
      </c>
      <c r="H5" s="2" t="s">
        <v>2308</v>
      </c>
    </row>
    <row r="6" spans="1:8" ht="27.6">
      <c r="A6" s="2" t="s">
        <v>2309</v>
      </c>
      <c r="B6" s="2" t="s">
        <v>2310</v>
      </c>
      <c r="C6" s="2" t="s">
        <v>2311</v>
      </c>
      <c r="D6" s="2" t="s">
        <v>2312</v>
      </c>
      <c r="E6" s="2" t="s">
        <v>2313</v>
      </c>
      <c r="F6" s="2" t="s">
        <v>2314</v>
      </c>
      <c r="G6" s="2" t="s">
        <v>1151</v>
      </c>
      <c r="H6" s="2" t="s">
        <v>2315</v>
      </c>
    </row>
    <row r="7" spans="1:8" ht="41.4">
      <c r="A7" s="2" t="s">
        <v>2316</v>
      </c>
      <c r="B7" s="2" t="s">
        <v>2317</v>
      </c>
      <c r="C7" s="2" t="s">
        <v>2318</v>
      </c>
      <c r="D7" s="2" t="s">
        <v>2319</v>
      </c>
      <c r="E7" s="2" t="s">
        <v>2320</v>
      </c>
      <c r="F7" s="2" t="s">
        <v>2321</v>
      </c>
      <c r="G7" s="2" t="s">
        <v>1143</v>
      </c>
      <c r="H7" s="2" t="s">
        <v>2322</v>
      </c>
    </row>
    <row r="8" spans="1:8" ht="41.4">
      <c r="A8" s="2" t="s">
        <v>2323</v>
      </c>
      <c r="B8" s="2" t="s">
        <v>2324</v>
      </c>
      <c r="C8" s="2" t="s">
        <v>2325</v>
      </c>
      <c r="D8" s="2" t="s">
        <v>2326</v>
      </c>
      <c r="E8" s="2" t="s">
        <v>2327</v>
      </c>
      <c r="F8" s="2" t="s">
        <v>2328</v>
      </c>
      <c r="G8" s="2" t="s">
        <v>1143</v>
      </c>
      <c r="H8" s="2" t="s">
        <v>2329</v>
      </c>
    </row>
    <row r="9" spans="1:8" ht="55.2">
      <c r="A9" s="2" t="s">
        <v>2330</v>
      </c>
      <c r="B9" s="2" t="s">
        <v>2331</v>
      </c>
      <c r="C9" s="2" t="s">
        <v>2332</v>
      </c>
      <c r="D9" s="2" t="s">
        <v>2333</v>
      </c>
      <c r="E9" s="2" t="s">
        <v>2334</v>
      </c>
      <c r="F9" s="2" t="s">
        <v>2335</v>
      </c>
      <c r="G9" s="2" t="s">
        <v>1143</v>
      </c>
      <c r="H9" s="2" t="s">
        <v>2336</v>
      </c>
    </row>
    <row r="10" spans="1:8" ht="41.4">
      <c r="A10" s="2" t="s">
        <v>2337</v>
      </c>
      <c r="B10" s="2" t="s">
        <v>2338</v>
      </c>
      <c r="C10" s="2" t="s">
        <v>2339</v>
      </c>
      <c r="D10" s="2" t="s">
        <v>2340</v>
      </c>
      <c r="E10" s="2" t="s">
        <v>2341</v>
      </c>
      <c r="F10" s="2" t="s">
        <v>2342</v>
      </c>
      <c r="G10" s="2" t="s">
        <v>1143</v>
      </c>
      <c r="H10" s="2" t="s">
        <v>2343</v>
      </c>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sheetData>
  <mergeCells count="1">
    <mergeCell ref="A1:H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43"/>
  <sheetViews>
    <sheetView zoomScale="61" zoomScaleNormal="61" workbookViewId="0">
      <selection sqref="A1:N1"/>
    </sheetView>
  </sheetViews>
  <sheetFormatPr defaultRowHeight="13.8"/>
  <cols>
    <col min="1" max="1" width="11" customWidth="1"/>
    <col min="2" max="2" width="25" customWidth="1"/>
    <col min="3" max="3" width="58" customWidth="1"/>
    <col min="4" max="4" width="20" customWidth="1"/>
    <col min="5" max="5" width="9" customWidth="1"/>
    <col min="6" max="6" width="11" customWidth="1"/>
    <col min="7" max="7" width="13" customWidth="1"/>
    <col min="8" max="8" width="15" customWidth="1"/>
    <col min="9" max="9" width="12" customWidth="1"/>
    <col min="10" max="10" width="16" customWidth="1"/>
    <col min="11" max="11" width="14" customWidth="1"/>
    <col min="12" max="12" width="42" customWidth="1"/>
    <col min="13" max="13" width="16" customWidth="1"/>
    <col min="14" max="14" width="34" customWidth="1"/>
  </cols>
  <sheetData>
    <row r="1" spans="1:14" ht="17.399999999999999">
      <c r="A1" s="123" t="s">
        <v>2344</v>
      </c>
      <c r="B1" s="123"/>
      <c r="C1" s="123"/>
      <c r="D1" s="123"/>
      <c r="E1" s="123"/>
      <c r="F1" s="123"/>
      <c r="G1" s="123"/>
      <c r="H1" s="123"/>
      <c r="I1" s="123"/>
      <c r="J1" s="123"/>
      <c r="K1" s="123"/>
      <c r="L1" s="123"/>
      <c r="M1" s="123"/>
      <c r="N1" s="123"/>
    </row>
    <row r="2" spans="1:14" ht="14.4">
      <c r="A2" s="124" t="s">
        <v>2345</v>
      </c>
      <c r="B2" s="124"/>
      <c r="C2" s="124"/>
      <c r="D2" s="124"/>
      <c r="E2" s="124"/>
      <c r="F2" s="124"/>
      <c r="G2" s="124"/>
      <c r="H2" s="124"/>
      <c r="I2" s="124"/>
      <c r="J2" s="124"/>
      <c r="K2" s="124"/>
      <c r="L2" s="124"/>
      <c r="M2" s="124"/>
      <c r="N2" s="124"/>
    </row>
    <row r="4" spans="1:14" ht="27.6">
      <c r="A4" s="16" t="s">
        <v>2346</v>
      </c>
      <c r="B4" s="16" t="s">
        <v>5</v>
      </c>
      <c r="C4" s="16" t="s">
        <v>7</v>
      </c>
      <c r="D4" s="16" t="s">
        <v>1422</v>
      </c>
      <c r="E4" s="16" t="s">
        <v>8</v>
      </c>
      <c r="F4" s="16" t="s">
        <v>2089</v>
      </c>
      <c r="G4" s="16" t="s">
        <v>10</v>
      </c>
      <c r="H4" s="16" t="s">
        <v>2090</v>
      </c>
      <c r="I4" s="16" t="s">
        <v>2093</v>
      </c>
      <c r="J4" s="16" t="s">
        <v>2094</v>
      </c>
      <c r="K4" s="16" t="s">
        <v>2208</v>
      </c>
      <c r="L4" s="16" t="s">
        <v>2095</v>
      </c>
      <c r="M4" s="16" t="s">
        <v>4</v>
      </c>
      <c r="N4" s="16" t="s">
        <v>623</v>
      </c>
    </row>
    <row r="5" spans="1:14" ht="27.6">
      <c r="A5" s="2">
        <v>1</v>
      </c>
      <c r="B5" s="2" t="s">
        <v>624</v>
      </c>
      <c r="C5" s="2" t="s">
        <v>625</v>
      </c>
      <c r="D5" s="2" t="s">
        <v>21</v>
      </c>
      <c r="E5" s="2" t="s">
        <v>619</v>
      </c>
      <c r="F5" s="4">
        <v>1</v>
      </c>
      <c r="G5" s="4">
        <v>250000</v>
      </c>
      <c r="H5" s="4">
        <v>250000</v>
      </c>
      <c r="I5" s="4">
        <v>1</v>
      </c>
      <c r="J5" s="4">
        <v>250000</v>
      </c>
      <c r="K5" s="2" t="s">
        <v>2097</v>
      </c>
      <c r="L5" s="2"/>
      <c r="M5" s="2" t="s">
        <v>2266</v>
      </c>
      <c r="N5" s="2"/>
    </row>
    <row r="6" spans="1:14">
      <c r="A6" s="2">
        <v>2</v>
      </c>
      <c r="B6" s="2" t="s">
        <v>624</v>
      </c>
      <c r="C6" s="2" t="s">
        <v>628</v>
      </c>
      <c r="D6" s="2" t="s">
        <v>21</v>
      </c>
      <c r="E6" s="2" t="s">
        <v>619</v>
      </c>
      <c r="F6" s="4">
        <v>1</v>
      </c>
      <c r="G6" s="4">
        <v>75000</v>
      </c>
      <c r="H6" s="4">
        <v>75000</v>
      </c>
      <c r="I6" s="4">
        <v>1</v>
      </c>
      <c r="J6" s="4">
        <v>75000</v>
      </c>
      <c r="K6" s="2" t="s">
        <v>2097</v>
      </c>
      <c r="L6" s="2"/>
      <c r="M6" s="2" t="s">
        <v>2266</v>
      </c>
      <c r="N6" s="2"/>
    </row>
    <row r="7" spans="1:14">
      <c r="A7" s="2">
        <v>3</v>
      </c>
      <c r="B7" s="2" t="s">
        <v>632</v>
      </c>
      <c r="C7" s="2" t="s">
        <v>633</v>
      </c>
      <c r="D7" s="2" t="s">
        <v>634</v>
      </c>
      <c r="E7" s="2" t="s">
        <v>46</v>
      </c>
      <c r="F7" s="4">
        <v>650</v>
      </c>
      <c r="G7" s="4">
        <v>86</v>
      </c>
      <c r="H7" s="4">
        <v>55900</v>
      </c>
      <c r="I7" s="4">
        <v>650</v>
      </c>
      <c r="J7" s="4">
        <v>55900</v>
      </c>
      <c r="K7" s="2" t="s">
        <v>2097</v>
      </c>
      <c r="L7" s="2"/>
      <c r="M7" s="2" t="s">
        <v>2266</v>
      </c>
      <c r="N7" s="2"/>
    </row>
    <row r="8" spans="1:14">
      <c r="A8" s="2">
        <v>4</v>
      </c>
      <c r="B8" s="2" t="s">
        <v>632</v>
      </c>
      <c r="C8" s="2" t="s">
        <v>637</v>
      </c>
      <c r="D8" s="2" t="s">
        <v>21</v>
      </c>
      <c r="E8" s="2" t="s">
        <v>111</v>
      </c>
      <c r="F8" s="4">
        <v>20</v>
      </c>
      <c r="G8" s="4">
        <v>6500</v>
      </c>
      <c r="H8" s="4">
        <v>130000</v>
      </c>
      <c r="I8" s="4">
        <v>20</v>
      </c>
      <c r="J8" s="4">
        <v>130000</v>
      </c>
      <c r="K8" s="2" t="s">
        <v>2097</v>
      </c>
      <c r="L8" s="2"/>
      <c r="M8" s="2" t="s">
        <v>2266</v>
      </c>
      <c r="N8" s="2"/>
    </row>
    <row r="9" spans="1:14">
      <c r="A9" s="2">
        <v>5</v>
      </c>
      <c r="B9" s="2" t="s">
        <v>632</v>
      </c>
      <c r="C9" s="2" t="s">
        <v>640</v>
      </c>
      <c r="D9" s="2" t="s">
        <v>641</v>
      </c>
      <c r="E9" s="2" t="s">
        <v>80</v>
      </c>
      <c r="F9" s="4">
        <v>8</v>
      </c>
      <c r="G9" s="4">
        <v>22344</v>
      </c>
      <c r="H9" s="4">
        <v>178752</v>
      </c>
      <c r="I9" s="4">
        <v>8</v>
      </c>
      <c r="J9" s="4">
        <v>178752</v>
      </c>
      <c r="K9" s="2" t="s">
        <v>2097</v>
      </c>
      <c r="L9" s="2"/>
      <c r="M9" s="2" t="s">
        <v>2266</v>
      </c>
      <c r="N9" s="2"/>
    </row>
    <row r="10" spans="1:14" ht="27.6">
      <c r="A10" s="2">
        <v>6</v>
      </c>
      <c r="B10" s="2" t="s">
        <v>632</v>
      </c>
      <c r="C10" s="2" t="s">
        <v>645</v>
      </c>
      <c r="D10" s="2" t="s">
        <v>646</v>
      </c>
      <c r="E10" s="2" t="s">
        <v>46</v>
      </c>
      <c r="F10" s="4">
        <v>45</v>
      </c>
      <c r="G10" s="4">
        <v>357</v>
      </c>
      <c r="H10" s="4">
        <v>16065</v>
      </c>
      <c r="I10" s="4">
        <v>0</v>
      </c>
      <c r="J10" s="4">
        <v>0</v>
      </c>
      <c r="K10" s="2" t="s">
        <v>2347</v>
      </c>
      <c r="L10" s="2" t="s">
        <v>2348</v>
      </c>
      <c r="M10" s="2" t="s">
        <v>2349</v>
      </c>
      <c r="N10" s="2"/>
    </row>
    <row r="11" spans="1:14" ht="41.4">
      <c r="A11" s="2">
        <v>7</v>
      </c>
      <c r="B11" s="2" t="s">
        <v>632</v>
      </c>
      <c r="C11" s="2" t="s">
        <v>648</v>
      </c>
      <c r="D11" s="2" t="s">
        <v>649</v>
      </c>
      <c r="E11" s="2" t="s">
        <v>80</v>
      </c>
      <c r="F11" s="4">
        <v>8</v>
      </c>
      <c r="G11" s="4">
        <v>10209</v>
      </c>
      <c r="H11" s="4">
        <v>81672</v>
      </c>
      <c r="I11" s="4">
        <v>0</v>
      </c>
      <c r="J11" s="4">
        <v>0</v>
      </c>
      <c r="K11" s="2" t="s">
        <v>2347</v>
      </c>
      <c r="L11" s="2" t="s">
        <v>2350</v>
      </c>
      <c r="M11" s="2" t="s">
        <v>2349</v>
      </c>
      <c r="N11" s="2"/>
    </row>
    <row r="12" spans="1:14">
      <c r="A12" s="2">
        <v>8</v>
      </c>
      <c r="B12" s="2" t="s">
        <v>632</v>
      </c>
      <c r="C12" s="2" t="s">
        <v>652</v>
      </c>
      <c r="D12" s="2" t="s">
        <v>653</v>
      </c>
      <c r="E12" s="2" t="s">
        <v>103</v>
      </c>
      <c r="F12" s="4">
        <v>50</v>
      </c>
      <c r="G12" s="4">
        <v>262</v>
      </c>
      <c r="H12" s="4">
        <v>13100</v>
      </c>
      <c r="I12" s="4">
        <v>50</v>
      </c>
      <c r="J12" s="4">
        <v>13100</v>
      </c>
      <c r="K12" s="2" t="s">
        <v>2097</v>
      </c>
      <c r="L12" s="2"/>
      <c r="M12" s="2" t="s">
        <v>2266</v>
      </c>
      <c r="N12" s="2"/>
    </row>
    <row r="13" spans="1:14" ht="55.2">
      <c r="A13" s="2">
        <v>9</v>
      </c>
      <c r="B13" s="2" t="s">
        <v>632</v>
      </c>
      <c r="C13" s="2" t="s">
        <v>656</v>
      </c>
      <c r="D13" s="2" t="s">
        <v>123</v>
      </c>
      <c r="E13" s="2" t="s">
        <v>121</v>
      </c>
      <c r="F13" s="4">
        <v>20</v>
      </c>
      <c r="G13" s="4">
        <v>4207</v>
      </c>
      <c r="H13" s="4">
        <v>84140</v>
      </c>
      <c r="I13" s="4">
        <v>15</v>
      </c>
      <c r="J13" s="4">
        <v>63105</v>
      </c>
      <c r="K13" s="2" t="s">
        <v>2137</v>
      </c>
      <c r="L13" s="2" t="s">
        <v>2351</v>
      </c>
      <c r="M13" s="2" t="s">
        <v>2352</v>
      </c>
      <c r="N13" s="2" t="s">
        <v>2353</v>
      </c>
    </row>
    <row r="14" spans="1:14">
      <c r="A14" s="2">
        <v>10</v>
      </c>
      <c r="B14" s="2" t="s">
        <v>660</v>
      </c>
      <c r="C14" s="2" t="s">
        <v>661</v>
      </c>
      <c r="D14" s="2" t="s">
        <v>662</v>
      </c>
      <c r="E14" s="2" t="s">
        <v>80</v>
      </c>
      <c r="F14" s="4">
        <v>60</v>
      </c>
      <c r="G14" s="4">
        <v>3177</v>
      </c>
      <c r="H14" s="4">
        <v>190620</v>
      </c>
      <c r="I14" s="4">
        <v>60</v>
      </c>
      <c r="J14" s="4">
        <v>190620</v>
      </c>
      <c r="K14" s="2" t="s">
        <v>2097</v>
      </c>
      <c r="L14" s="2"/>
      <c r="M14" s="2" t="s">
        <v>2266</v>
      </c>
      <c r="N14" s="2"/>
    </row>
    <row r="15" spans="1:14">
      <c r="A15" s="2">
        <v>11</v>
      </c>
      <c r="B15" s="2" t="s">
        <v>660</v>
      </c>
      <c r="C15" s="2" t="s">
        <v>665</v>
      </c>
      <c r="D15" s="2" t="s">
        <v>666</v>
      </c>
      <c r="E15" s="2" t="s">
        <v>80</v>
      </c>
      <c r="F15" s="4">
        <v>60</v>
      </c>
      <c r="G15" s="4">
        <v>444</v>
      </c>
      <c r="H15" s="4">
        <v>26640</v>
      </c>
      <c r="I15" s="4">
        <v>60</v>
      </c>
      <c r="J15" s="4">
        <v>26640</v>
      </c>
      <c r="K15" s="2" t="s">
        <v>2097</v>
      </c>
      <c r="L15" s="2"/>
      <c r="M15" s="2" t="s">
        <v>2266</v>
      </c>
      <c r="N15" s="2"/>
    </row>
    <row r="16" spans="1:14">
      <c r="A16" s="2">
        <v>12</v>
      </c>
      <c r="B16" s="2" t="s">
        <v>670</v>
      </c>
      <c r="C16" s="2" t="s">
        <v>671</v>
      </c>
      <c r="D16" s="2" t="s">
        <v>21</v>
      </c>
      <c r="E16" s="2" t="s">
        <v>103</v>
      </c>
      <c r="F16" s="4">
        <v>100</v>
      </c>
      <c r="G16" s="4">
        <v>550</v>
      </c>
      <c r="H16" s="4">
        <v>55000</v>
      </c>
      <c r="I16" s="4">
        <v>100</v>
      </c>
      <c r="J16" s="4">
        <v>55000</v>
      </c>
      <c r="K16" s="2" t="s">
        <v>2097</v>
      </c>
      <c r="L16" s="2"/>
      <c r="M16" s="2" t="s">
        <v>2266</v>
      </c>
      <c r="N16" s="2"/>
    </row>
    <row r="17" spans="1:14" ht="41.4">
      <c r="A17" s="2">
        <v>13</v>
      </c>
      <c r="B17" s="2" t="s">
        <v>670</v>
      </c>
      <c r="C17" s="2" t="s">
        <v>674</v>
      </c>
      <c r="D17" s="2" t="s">
        <v>675</v>
      </c>
      <c r="E17" s="2" t="s">
        <v>103</v>
      </c>
      <c r="F17" s="4">
        <v>20</v>
      </c>
      <c r="G17" s="4">
        <v>3219</v>
      </c>
      <c r="H17" s="4">
        <v>64380</v>
      </c>
      <c r="I17" s="4">
        <v>20</v>
      </c>
      <c r="J17" s="4">
        <v>64380</v>
      </c>
      <c r="K17" s="2" t="s">
        <v>2097</v>
      </c>
      <c r="L17" s="2" t="s">
        <v>2354</v>
      </c>
      <c r="M17" s="2" t="s">
        <v>2266</v>
      </c>
      <c r="N17" s="2" t="s">
        <v>2355</v>
      </c>
    </row>
    <row r="18" spans="1:14" ht="55.2">
      <c r="A18" s="2" t="s">
        <v>2356</v>
      </c>
      <c r="B18" s="2"/>
      <c r="C18" s="2" t="s">
        <v>677</v>
      </c>
      <c r="D18" s="2"/>
      <c r="E18" s="2" t="s">
        <v>80</v>
      </c>
      <c r="F18" s="4">
        <v>24</v>
      </c>
      <c r="G18" s="4">
        <v>2371</v>
      </c>
      <c r="H18" s="4">
        <v>56904</v>
      </c>
      <c r="I18" s="4">
        <v>24</v>
      </c>
      <c r="J18" s="4">
        <v>56904</v>
      </c>
      <c r="K18" s="2" t="s">
        <v>2097</v>
      </c>
      <c r="L18" s="2"/>
      <c r="M18" s="2" t="s">
        <v>2266</v>
      </c>
      <c r="N18" s="2"/>
    </row>
    <row r="19" spans="1:14" ht="27.6">
      <c r="A19" s="2" t="s">
        <v>2357</v>
      </c>
      <c r="B19" s="2"/>
      <c r="C19" s="2" t="s">
        <v>678</v>
      </c>
      <c r="D19" s="2"/>
      <c r="E19" s="2" t="s">
        <v>77</v>
      </c>
      <c r="F19" s="4">
        <v>30</v>
      </c>
      <c r="G19" s="4">
        <v>1490</v>
      </c>
      <c r="H19" s="4">
        <v>44700</v>
      </c>
      <c r="I19" s="4">
        <v>30</v>
      </c>
      <c r="J19" s="4">
        <v>44700</v>
      </c>
      <c r="K19" s="2" t="s">
        <v>2097</v>
      </c>
      <c r="L19" s="2"/>
      <c r="M19" s="2" t="s">
        <v>2266</v>
      </c>
      <c r="N19" s="2"/>
    </row>
    <row r="20" spans="1:14">
      <c r="A20" s="2" t="s">
        <v>2358</v>
      </c>
      <c r="B20" s="2"/>
      <c r="C20" s="2" t="s">
        <v>2359</v>
      </c>
      <c r="D20" s="2"/>
      <c r="E20" s="2" t="s">
        <v>94</v>
      </c>
      <c r="F20" s="4">
        <v>10.799999999999999</v>
      </c>
      <c r="G20" s="4">
        <v>34095</v>
      </c>
      <c r="H20" s="4">
        <v>368225.99999999994</v>
      </c>
      <c r="I20" s="4">
        <v>10.799999999999999</v>
      </c>
      <c r="J20" s="4">
        <v>368225.99999999994</v>
      </c>
      <c r="K20" s="2" t="s">
        <v>2097</v>
      </c>
      <c r="L20" s="2"/>
      <c r="M20" s="2" t="s">
        <v>2266</v>
      </c>
      <c r="N20" s="2"/>
    </row>
    <row r="21" spans="1:14" ht="55.2">
      <c r="A21" s="2" t="s">
        <v>2360</v>
      </c>
      <c r="B21" s="2"/>
      <c r="C21" s="2" t="s">
        <v>680</v>
      </c>
      <c r="D21" s="2"/>
      <c r="E21" s="2" t="s">
        <v>143</v>
      </c>
      <c r="F21" s="4">
        <v>1295.9999999999998</v>
      </c>
      <c r="G21" s="4">
        <v>459</v>
      </c>
      <c r="H21" s="4">
        <v>594863.99999999988</v>
      </c>
      <c r="I21" s="4">
        <v>1295.9999999999998</v>
      </c>
      <c r="J21" s="4">
        <v>594863.99999999988</v>
      </c>
      <c r="K21" s="2" t="s">
        <v>2097</v>
      </c>
      <c r="L21" s="2"/>
      <c r="M21" s="2" t="s">
        <v>2266</v>
      </c>
      <c r="N21" s="2"/>
    </row>
    <row r="22" spans="1:14">
      <c r="A22" s="2" t="s">
        <v>2361</v>
      </c>
      <c r="B22" s="2"/>
      <c r="C22" s="2" t="s">
        <v>681</v>
      </c>
      <c r="D22" s="2"/>
      <c r="E22" s="2" t="s">
        <v>77</v>
      </c>
      <c r="F22" s="4">
        <v>120</v>
      </c>
      <c r="G22" s="4">
        <v>2790</v>
      </c>
      <c r="H22" s="4">
        <v>334800</v>
      </c>
      <c r="I22" s="4">
        <v>120</v>
      </c>
      <c r="J22" s="4">
        <v>334800</v>
      </c>
      <c r="K22" s="2" t="s">
        <v>2097</v>
      </c>
      <c r="L22" s="2"/>
      <c r="M22" s="2" t="s">
        <v>2266</v>
      </c>
      <c r="N22" s="2"/>
    </row>
    <row r="23" spans="1:14" ht="138">
      <c r="A23" s="2" t="s">
        <v>2362</v>
      </c>
      <c r="B23" s="2"/>
      <c r="C23" s="2" t="s">
        <v>2363</v>
      </c>
      <c r="D23" s="2"/>
      <c r="E23" s="2" t="s">
        <v>77</v>
      </c>
      <c r="F23" s="4">
        <v>25</v>
      </c>
      <c r="G23" s="4">
        <v>35000</v>
      </c>
      <c r="H23" s="4">
        <v>875000</v>
      </c>
      <c r="I23" s="4">
        <v>25</v>
      </c>
      <c r="J23" s="4">
        <v>875000</v>
      </c>
      <c r="K23" s="2" t="s">
        <v>2097</v>
      </c>
      <c r="L23" s="2"/>
      <c r="M23" s="2" t="s">
        <v>2266</v>
      </c>
      <c r="N23" s="2"/>
    </row>
    <row r="24" spans="1:14" ht="151.80000000000001">
      <c r="A24" s="2" t="s">
        <v>2364</v>
      </c>
      <c r="B24" s="2"/>
      <c r="C24" s="2" t="s">
        <v>2365</v>
      </c>
      <c r="D24" s="2"/>
      <c r="E24" s="2" t="s">
        <v>77</v>
      </c>
      <c r="F24" s="4">
        <v>49</v>
      </c>
      <c r="G24" s="4">
        <v>18000</v>
      </c>
      <c r="H24" s="4">
        <v>882000</v>
      </c>
      <c r="I24" s="4">
        <v>49</v>
      </c>
      <c r="J24" s="4">
        <v>882000</v>
      </c>
      <c r="K24" s="2" t="s">
        <v>2097</v>
      </c>
      <c r="L24" s="2"/>
      <c r="M24" s="2" t="s">
        <v>2266</v>
      </c>
      <c r="N24" s="2"/>
    </row>
    <row r="25" spans="1:14">
      <c r="A25" s="2">
        <v>14</v>
      </c>
      <c r="B25" s="2" t="s">
        <v>683</v>
      </c>
      <c r="C25" s="2" t="s">
        <v>684</v>
      </c>
      <c r="D25" s="2" t="s">
        <v>685</v>
      </c>
      <c r="E25" s="2" t="s">
        <v>46</v>
      </c>
      <c r="F25" s="4">
        <v>700</v>
      </c>
      <c r="G25" s="4">
        <v>5136</v>
      </c>
      <c r="H25" s="4">
        <v>3595200</v>
      </c>
      <c r="I25" s="4">
        <v>700</v>
      </c>
      <c r="J25" s="4">
        <v>3595200</v>
      </c>
      <c r="K25" s="2" t="s">
        <v>2097</v>
      </c>
      <c r="L25" s="2"/>
      <c r="M25" s="2" t="s">
        <v>2266</v>
      </c>
      <c r="N25" s="2"/>
    </row>
    <row r="26" spans="1:14">
      <c r="A26" s="2">
        <v>15</v>
      </c>
      <c r="B26" s="2" t="s">
        <v>683</v>
      </c>
      <c r="C26" s="2" t="s">
        <v>688</v>
      </c>
      <c r="D26" s="2" t="s">
        <v>689</v>
      </c>
      <c r="E26" s="2" t="s">
        <v>103</v>
      </c>
      <c r="F26" s="4">
        <v>90</v>
      </c>
      <c r="G26" s="4">
        <v>2713</v>
      </c>
      <c r="H26" s="4">
        <v>244170</v>
      </c>
      <c r="I26" s="4">
        <v>90</v>
      </c>
      <c r="J26" s="4">
        <v>244170</v>
      </c>
      <c r="K26" s="2" t="s">
        <v>2097</v>
      </c>
      <c r="L26" s="2"/>
      <c r="M26" s="2" t="s">
        <v>2266</v>
      </c>
      <c r="N26" s="2"/>
    </row>
    <row r="27" spans="1:14">
      <c r="A27" s="2">
        <v>16</v>
      </c>
      <c r="B27" s="2" t="s">
        <v>692</v>
      </c>
      <c r="C27" s="2" t="s">
        <v>693</v>
      </c>
      <c r="D27" s="2" t="s">
        <v>694</v>
      </c>
      <c r="E27" s="2" t="s">
        <v>46</v>
      </c>
      <c r="F27" s="4">
        <v>150</v>
      </c>
      <c r="G27" s="4">
        <v>2390</v>
      </c>
      <c r="H27" s="4">
        <v>358500</v>
      </c>
      <c r="I27" s="4">
        <v>150</v>
      </c>
      <c r="J27" s="4">
        <v>358500</v>
      </c>
      <c r="K27" s="2" t="s">
        <v>2097</v>
      </c>
      <c r="L27" s="2"/>
      <c r="M27" s="2" t="s">
        <v>2266</v>
      </c>
      <c r="N27" s="2"/>
    </row>
    <row r="28" spans="1:14">
      <c r="A28" s="2">
        <v>17</v>
      </c>
      <c r="B28" s="2" t="s">
        <v>692</v>
      </c>
      <c r="C28" s="2" t="s">
        <v>696</v>
      </c>
      <c r="D28" s="2" t="s">
        <v>697</v>
      </c>
      <c r="E28" s="2" t="s">
        <v>46</v>
      </c>
      <c r="F28" s="4">
        <v>150</v>
      </c>
      <c r="G28" s="4">
        <v>624</v>
      </c>
      <c r="H28" s="4">
        <v>93600</v>
      </c>
      <c r="I28" s="4">
        <v>150</v>
      </c>
      <c r="J28" s="4">
        <v>93600</v>
      </c>
      <c r="K28" s="2" t="s">
        <v>2097</v>
      </c>
      <c r="L28" s="2"/>
      <c r="M28" s="2" t="s">
        <v>2266</v>
      </c>
      <c r="N28" s="2"/>
    </row>
    <row r="29" spans="1:14" ht="27.6">
      <c r="A29" s="2">
        <v>18</v>
      </c>
      <c r="B29" s="2" t="s">
        <v>692</v>
      </c>
      <c r="C29" s="2" t="s">
        <v>699</v>
      </c>
      <c r="D29" s="2" t="s">
        <v>21</v>
      </c>
      <c r="E29" s="2" t="s">
        <v>46</v>
      </c>
      <c r="F29" s="4">
        <v>40</v>
      </c>
      <c r="G29" s="4">
        <v>2400</v>
      </c>
      <c r="H29" s="4">
        <v>96000</v>
      </c>
      <c r="I29" s="4">
        <v>40</v>
      </c>
      <c r="J29" s="4">
        <v>96000</v>
      </c>
      <c r="K29" s="2" t="s">
        <v>2097</v>
      </c>
      <c r="L29" s="2"/>
      <c r="M29" s="2" t="s">
        <v>2266</v>
      </c>
      <c r="N29" s="2"/>
    </row>
    <row r="30" spans="1:14">
      <c r="A30" s="2">
        <v>19</v>
      </c>
      <c r="B30" s="2" t="s">
        <v>692</v>
      </c>
      <c r="C30" s="2" t="s">
        <v>701</v>
      </c>
      <c r="D30" s="2" t="s">
        <v>21</v>
      </c>
      <c r="E30" s="2" t="s">
        <v>111</v>
      </c>
      <c r="F30" s="4">
        <v>15</v>
      </c>
      <c r="G30" s="4">
        <v>1100</v>
      </c>
      <c r="H30" s="4">
        <v>16500</v>
      </c>
      <c r="I30" s="4">
        <v>15</v>
      </c>
      <c r="J30" s="4">
        <v>16500</v>
      </c>
      <c r="K30" s="2" t="s">
        <v>2097</v>
      </c>
      <c r="L30" s="2"/>
      <c r="M30" s="2" t="s">
        <v>2266</v>
      </c>
      <c r="N30" s="2"/>
    </row>
    <row r="31" spans="1:14">
      <c r="A31" s="2">
        <v>20</v>
      </c>
      <c r="B31" s="2" t="s">
        <v>692</v>
      </c>
      <c r="C31" s="2" t="s">
        <v>703</v>
      </c>
      <c r="D31" s="2" t="s">
        <v>704</v>
      </c>
      <c r="E31" s="2" t="s">
        <v>111</v>
      </c>
      <c r="F31" s="4">
        <v>5</v>
      </c>
      <c r="G31" s="4">
        <v>10270</v>
      </c>
      <c r="H31" s="4">
        <v>51350</v>
      </c>
      <c r="I31" s="4">
        <v>5</v>
      </c>
      <c r="J31" s="4">
        <v>51350</v>
      </c>
      <c r="K31" s="2" t="s">
        <v>2097</v>
      </c>
      <c r="L31" s="2"/>
      <c r="M31" s="2" t="s">
        <v>2266</v>
      </c>
      <c r="N31" s="2"/>
    </row>
    <row r="32" spans="1:14" ht="41.4">
      <c r="A32" s="2">
        <v>21</v>
      </c>
      <c r="B32" s="2" t="s">
        <v>692</v>
      </c>
      <c r="C32" s="2" t="s">
        <v>706</v>
      </c>
      <c r="D32" s="2" t="s">
        <v>707</v>
      </c>
      <c r="E32" s="2" t="s">
        <v>708</v>
      </c>
      <c r="F32" s="4">
        <v>3</v>
      </c>
      <c r="G32" s="4">
        <v>24570</v>
      </c>
      <c r="H32" s="4">
        <v>73710</v>
      </c>
      <c r="I32" s="4">
        <v>0</v>
      </c>
      <c r="J32" s="4">
        <v>0</v>
      </c>
      <c r="K32" s="2" t="s">
        <v>2347</v>
      </c>
      <c r="L32" s="2" t="s">
        <v>2366</v>
      </c>
      <c r="M32" s="2" t="s">
        <v>2349</v>
      </c>
      <c r="N32" s="2"/>
    </row>
    <row r="33" spans="1:14" ht="41.4">
      <c r="A33" s="2">
        <v>22</v>
      </c>
      <c r="B33" s="2" t="s">
        <v>712</v>
      </c>
      <c r="C33" s="2" t="s">
        <v>713</v>
      </c>
      <c r="D33" s="2" t="s">
        <v>21</v>
      </c>
      <c r="E33" s="2" t="s">
        <v>619</v>
      </c>
      <c r="F33" s="4">
        <v>1</v>
      </c>
      <c r="G33" s="4">
        <v>120000</v>
      </c>
      <c r="H33" s="4">
        <v>120000</v>
      </c>
      <c r="I33" s="4">
        <v>1</v>
      </c>
      <c r="J33" s="4">
        <v>120000</v>
      </c>
      <c r="K33" s="2" t="s">
        <v>2097</v>
      </c>
      <c r="L33" s="2" t="s">
        <v>2367</v>
      </c>
      <c r="M33" s="2" t="s">
        <v>2266</v>
      </c>
      <c r="N33" s="2" t="s">
        <v>2368</v>
      </c>
    </row>
    <row r="34" spans="1:14" ht="27.6">
      <c r="A34" s="2">
        <v>23</v>
      </c>
      <c r="B34" s="2" t="s">
        <v>712</v>
      </c>
      <c r="C34" s="2" t="s">
        <v>716</v>
      </c>
      <c r="D34" s="2" t="s">
        <v>21</v>
      </c>
      <c r="E34" s="2" t="s">
        <v>619</v>
      </c>
      <c r="F34" s="4">
        <v>1</v>
      </c>
      <c r="G34" s="4">
        <v>150000</v>
      </c>
      <c r="H34" s="4">
        <v>150000</v>
      </c>
      <c r="I34" s="4">
        <v>1</v>
      </c>
      <c r="J34" s="4">
        <v>150000</v>
      </c>
      <c r="K34" s="2" t="s">
        <v>2097</v>
      </c>
      <c r="L34" s="2"/>
      <c r="M34" s="2" t="s">
        <v>2266</v>
      </c>
      <c r="N34" s="2"/>
    </row>
    <row r="35" spans="1:14">
      <c r="A35" s="2"/>
      <c r="B35" s="2"/>
      <c r="C35" s="2"/>
      <c r="D35" s="2"/>
      <c r="E35" s="2"/>
      <c r="F35" s="2"/>
      <c r="G35" s="2"/>
      <c r="H35" s="2"/>
      <c r="I35" s="2"/>
      <c r="J35" s="2"/>
      <c r="K35" s="2"/>
      <c r="L35" s="2"/>
      <c r="M35" s="2"/>
      <c r="N35" s="2"/>
    </row>
    <row r="36" spans="1:14">
      <c r="A36" s="2"/>
      <c r="B36" s="2"/>
      <c r="C36" s="2"/>
      <c r="D36" s="2"/>
      <c r="E36" s="2"/>
      <c r="F36" s="2"/>
      <c r="G36" s="2"/>
      <c r="H36" s="2"/>
      <c r="I36" s="2"/>
      <c r="J36" s="2"/>
      <c r="K36" s="2"/>
      <c r="L36" s="2"/>
      <c r="M36" s="2"/>
      <c r="N36" s="2"/>
    </row>
    <row r="37" spans="1:14" ht="41.4">
      <c r="A37" s="2"/>
      <c r="B37" s="2"/>
      <c r="C37" s="2"/>
      <c r="D37" s="2"/>
      <c r="E37" s="2"/>
      <c r="F37" s="2"/>
      <c r="G37" s="2" t="s">
        <v>2369</v>
      </c>
      <c r="H37" s="2"/>
      <c r="I37" s="2"/>
      <c r="J37" s="4">
        <f>SUM(H5:H34)</f>
        <v>9176793</v>
      </c>
      <c r="K37" s="2"/>
      <c r="L37" s="2"/>
      <c r="M37" s="2"/>
      <c r="N37" s="2"/>
    </row>
    <row r="38" spans="1:14" ht="41.4">
      <c r="A38" s="2"/>
      <c r="B38" s="2"/>
      <c r="C38" s="2"/>
      <c r="D38" s="2"/>
      <c r="E38" s="2"/>
      <c r="F38" s="2"/>
      <c r="G38" s="2" t="s">
        <v>2370</v>
      </c>
      <c r="H38" s="2"/>
      <c r="I38" s="2"/>
      <c r="J38" s="4">
        <f>J37-SUM(J5:J34)</f>
        <v>192482</v>
      </c>
      <c r="K38" s="2"/>
      <c r="L38" s="2"/>
      <c r="M38" s="2"/>
      <c r="N38" s="2"/>
    </row>
    <row r="39" spans="1:14" ht="41.4">
      <c r="A39" s="2"/>
      <c r="B39" s="2"/>
      <c r="C39" s="2"/>
      <c r="D39" s="2"/>
      <c r="E39" s="2"/>
      <c r="F39" s="2"/>
      <c r="G39" s="2" t="s">
        <v>2371</v>
      </c>
      <c r="H39" s="2"/>
      <c r="I39" s="2"/>
      <c r="J39" s="4">
        <f>SUM(J5:J34)</f>
        <v>8984311</v>
      </c>
      <c r="K39" s="2"/>
      <c r="L39" s="2"/>
      <c r="M39" s="2"/>
      <c r="N39" s="2"/>
    </row>
    <row r="40" spans="1:14" ht="41.4">
      <c r="A40" s="2"/>
      <c r="B40" s="2"/>
      <c r="C40" s="2"/>
      <c r="D40" s="2"/>
      <c r="E40" s="2"/>
      <c r="F40" s="2"/>
      <c r="G40" s="2" t="s">
        <v>1116</v>
      </c>
      <c r="H40" s="2"/>
      <c r="I40" s="2"/>
      <c r="J40" s="11">
        <v>0.1</v>
      </c>
      <c r="K40" s="2"/>
      <c r="L40" s="2"/>
      <c r="M40" s="2"/>
      <c r="N40" s="2"/>
    </row>
    <row r="41" spans="1:14" ht="27.6">
      <c r="A41" s="2"/>
      <c r="B41" s="2"/>
      <c r="C41" s="2"/>
      <c r="D41" s="2"/>
      <c r="E41" s="2"/>
      <c r="F41" s="2"/>
      <c r="G41" s="2" t="s">
        <v>1117</v>
      </c>
      <c r="H41" s="2"/>
      <c r="I41" s="2"/>
      <c r="J41" s="4">
        <f>J39*J40</f>
        <v>898431.10000000009</v>
      </c>
      <c r="K41" s="2"/>
      <c r="L41" s="2"/>
      <c r="M41" s="2"/>
      <c r="N41" s="2"/>
    </row>
    <row r="42" spans="1:14" ht="41.4">
      <c r="A42" s="2"/>
      <c r="B42" s="2"/>
      <c r="C42" s="2"/>
      <c r="D42" s="2"/>
      <c r="E42" s="2"/>
      <c r="F42" s="2"/>
      <c r="G42" s="2" t="s">
        <v>1118</v>
      </c>
      <c r="H42" s="2"/>
      <c r="I42" s="2"/>
      <c r="J42" s="4">
        <f>J39+J41</f>
        <v>9882742.0999999996</v>
      </c>
      <c r="K42" s="2"/>
      <c r="L42" s="2"/>
      <c r="M42" s="2"/>
      <c r="N42" s="2"/>
    </row>
    <row r="43" spans="1:14">
      <c r="A43" s="2"/>
      <c r="B43" s="2"/>
      <c r="C43" s="2"/>
      <c r="D43" s="2"/>
      <c r="E43" s="2"/>
      <c r="F43" s="2"/>
      <c r="G43" s="2" t="s">
        <v>3</v>
      </c>
      <c r="H43" s="2"/>
      <c r="I43" s="2"/>
      <c r="J43" s="2" t="s">
        <v>1119</v>
      </c>
      <c r="K43" s="2"/>
      <c r="L43" s="2"/>
      <c r="M43" s="2"/>
      <c r="N43" s="2"/>
    </row>
  </sheetData>
  <mergeCells count="2">
    <mergeCell ref="A1:N1"/>
    <mergeCell ref="A2:N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0"/>
  <sheetViews>
    <sheetView zoomScale="64" zoomScaleNormal="64" workbookViewId="0">
      <selection sqref="A1:J1"/>
    </sheetView>
  </sheetViews>
  <sheetFormatPr defaultRowHeight="13.8"/>
  <cols>
    <col min="1" max="1" width="11" customWidth="1"/>
    <col min="2" max="2" width="20" customWidth="1"/>
    <col min="3" max="3" width="31" customWidth="1"/>
    <col min="4" max="4" width="44" customWidth="1"/>
    <col min="5" max="5" width="28" customWidth="1"/>
    <col min="6" max="6" width="20" customWidth="1"/>
    <col min="7" max="7" width="22" customWidth="1"/>
    <col min="8" max="8" width="34" customWidth="1"/>
    <col min="9" max="9" width="15" customWidth="1"/>
    <col min="10" max="10" width="34" customWidth="1"/>
  </cols>
  <sheetData>
    <row r="1" spans="1:10" ht="17.399999999999999">
      <c r="A1" s="123" t="s">
        <v>2372</v>
      </c>
      <c r="B1" s="123"/>
      <c r="C1" s="123"/>
      <c r="D1" s="123"/>
      <c r="E1" s="123"/>
      <c r="F1" s="123"/>
      <c r="G1" s="123"/>
      <c r="H1" s="123"/>
      <c r="I1" s="123"/>
      <c r="J1" s="123"/>
    </row>
    <row r="3" spans="1:10" ht="27.6">
      <c r="A3" s="16" t="s">
        <v>2373</v>
      </c>
      <c r="B3" s="16" t="s">
        <v>2374</v>
      </c>
      <c r="C3" s="16" t="s">
        <v>2375</v>
      </c>
      <c r="D3" s="16" t="s">
        <v>2376</v>
      </c>
      <c r="E3" s="16" t="s">
        <v>1128</v>
      </c>
      <c r="F3" s="16" t="s">
        <v>2377</v>
      </c>
      <c r="G3" s="16" t="s">
        <v>2378</v>
      </c>
      <c r="H3" s="16" t="s">
        <v>2379</v>
      </c>
      <c r="I3" s="16" t="s">
        <v>1200</v>
      </c>
      <c r="J3" s="16" t="s">
        <v>2380</v>
      </c>
    </row>
    <row r="4" spans="1:10" ht="27.6">
      <c r="A4" s="2" t="s">
        <v>2381</v>
      </c>
      <c r="B4" s="2" t="s">
        <v>2382</v>
      </c>
      <c r="C4" s="2" t="s">
        <v>2383</v>
      </c>
      <c r="D4" s="2" t="s">
        <v>2384</v>
      </c>
      <c r="E4" s="2" t="s">
        <v>2385</v>
      </c>
      <c r="F4" s="4">
        <v>1080000</v>
      </c>
      <c r="G4" s="4">
        <f>'Electrical BOQ - Reviewed'!K54</f>
        <v>18731600</v>
      </c>
      <c r="H4" s="2" t="s">
        <v>2386</v>
      </c>
      <c r="I4" s="2" t="s">
        <v>1151</v>
      </c>
      <c r="J4" s="2" t="s">
        <v>2387</v>
      </c>
    </row>
    <row r="5" spans="1:10" ht="27.6">
      <c r="A5" s="2" t="s">
        <v>2388</v>
      </c>
      <c r="B5" s="2" t="s">
        <v>2382</v>
      </c>
      <c r="C5" s="2" t="s">
        <v>2389</v>
      </c>
      <c r="D5" s="2" t="s">
        <v>2390</v>
      </c>
      <c r="E5" s="2" t="s">
        <v>2385</v>
      </c>
      <c r="F5" s="4">
        <v>1228000</v>
      </c>
      <c r="G5" s="4">
        <f>'Electrical BOQ - Reviewed'!K54</f>
        <v>18731600</v>
      </c>
      <c r="H5" s="2" t="s">
        <v>2391</v>
      </c>
      <c r="I5" s="2" t="s">
        <v>1143</v>
      </c>
      <c r="J5" s="2" t="s">
        <v>2392</v>
      </c>
    </row>
    <row r="6" spans="1:10" ht="27.6">
      <c r="A6" s="2" t="s">
        <v>2393</v>
      </c>
      <c r="B6" s="2" t="s">
        <v>2394</v>
      </c>
      <c r="C6" s="2" t="s">
        <v>2395</v>
      </c>
      <c r="D6" s="2" t="s">
        <v>2396</v>
      </c>
      <c r="E6" s="2" t="s">
        <v>2397</v>
      </c>
      <c r="F6" s="4">
        <v>4000000</v>
      </c>
      <c r="G6" s="4">
        <v>98100000</v>
      </c>
      <c r="H6" s="2" t="s">
        <v>2398</v>
      </c>
      <c r="I6" s="2" t="s">
        <v>1143</v>
      </c>
      <c r="J6" s="2" t="s">
        <v>2399</v>
      </c>
    </row>
    <row r="7" spans="1:10" ht="27.6">
      <c r="A7" s="2" t="s">
        <v>2400</v>
      </c>
      <c r="B7" s="2" t="s">
        <v>2401</v>
      </c>
      <c r="C7" s="2" t="s">
        <v>2402</v>
      </c>
      <c r="D7" s="2" t="s">
        <v>2403</v>
      </c>
      <c r="E7" s="2" t="s">
        <v>2404</v>
      </c>
      <c r="F7" s="4">
        <v>16065</v>
      </c>
      <c r="G7" s="4">
        <f>'Site Works - Reviewed'!J39</f>
        <v>8984311</v>
      </c>
      <c r="H7" s="2" t="s">
        <v>2405</v>
      </c>
      <c r="I7" s="2" t="s">
        <v>1143</v>
      </c>
      <c r="J7" s="2" t="s">
        <v>2406</v>
      </c>
    </row>
    <row r="8" spans="1:10" ht="27.6">
      <c r="A8" s="2" t="s">
        <v>2407</v>
      </c>
      <c r="B8" s="2" t="s">
        <v>2401</v>
      </c>
      <c r="C8" s="2" t="s">
        <v>2408</v>
      </c>
      <c r="D8" s="2" t="s">
        <v>2409</v>
      </c>
      <c r="E8" s="2" t="s">
        <v>2410</v>
      </c>
      <c r="F8" s="4">
        <v>81672</v>
      </c>
      <c r="G8" s="4">
        <f>'Site Works - Reviewed'!J39</f>
        <v>8984311</v>
      </c>
      <c r="H8" s="2" t="s">
        <v>2411</v>
      </c>
      <c r="I8" s="2" t="s">
        <v>1151</v>
      </c>
      <c r="J8" s="2" t="s">
        <v>2412</v>
      </c>
    </row>
    <row r="9" spans="1:10" ht="27.6">
      <c r="A9" s="2" t="s">
        <v>2413</v>
      </c>
      <c r="B9" s="2" t="s">
        <v>2401</v>
      </c>
      <c r="C9" s="2" t="s">
        <v>2414</v>
      </c>
      <c r="D9" s="2" t="s">
        <v>2415</v>
      </c>
      <c r="E9" s="2" t="s">
        <v>2416</v>
      </c>
      <c r="F9" s="4">
        <v>21035</v>
      </c>
      <c r="G9" s="4">
        <f>'Site Works - Reviewed'!J39</f>
        <v>8984311</v>
      </c>
      <c r="H9" s="2" t="s">
        <v>2417</v>
      </c>
      <c r="I9" s="2" t="s">
        <v>1189</v>
      </c>
      <c r="J9" s="2" t="s">
        <v>2418</v>
      </c>
    </row>
    <row r="10" spans="1:10" ht="27.6">
      <c r="A10" s="2" t="s">
        <v>2419</v>
      </c>
      <c r="B10" s="2" t="s">
        <v>2401</v>
      </c>
      <c r="C10" s="2" t="s">
        <v>2420</v>
      </c>
      <c r="D10" s="2" t="s">
        <v>2421</v>
      </c>
      <c r="E10" s="2" t="s">
        <v>2422</v>
      </c>
      <c r="F10" s="4">
        <v>73710</v>
      </c>
      <c r="G10" s="4">
        <f>'Site Works - Reviewed'!J39</f>
        <v>8984311</v>
      </c>
      <c r="H10" s="2" t="s">
        <v>2423</v>
      </c>
      <c r="I10" s="2" t="s">
        <v>1143</v>
      </c>
      <c r="J10" s="2" t="s">
        <v>2424</v>
      </c>
    </row>
    <row r="11" spans="1:10" ht="27.6">
      <c r="A11" s="2" t="s">
        <v>2425</v>
      </c>
      <c r="B11" s="2" t="s">
        <v>2426</v>
      </c>
      <c r="C11" s="2" t="s">
        <v>2427</v>
      </c>
      <c r="D11" s="2" t="s">
        <v>2428</v>
      </c>
      <c r="E11" s="2" t="s">
        <v>2429</v>
      </c>
      <c r="F11" s="4">
        <v>357000</v>
      </c>
      <c r="G11" s="4">
        <v>3959000</v>
      </c>
      <c r="H11" s="2" t="s">
        <v>2430</v>
      </c>
      <c r="I11" s="2" t="s">
        <v>1143</v>
      </c>
      <c r="J11" s="2" t="s">
        <v>2431</v>
      </c>
    </row>
    <row r="12" spans="1:10" ht="27.6">
      <c r="A12" s="2" t="s">
        <v>2432</v>
      </c>
      <c r="B12" s="2" t="s">
        <v>2433</v>
      </c>
      <c r="C12" s="2" t="s">
        <v>2434</v>
      </c>
      <c r="D12" s="2" t="s">
        <v>2435</v>
      </c>
      <c r="E12" s="2" t="s">
        <v>2436</v>
      </c>
      <c r="F12" s="4">
        <v>0</v>
      </c>
      <c r="G12" s="4" t="e">
        <f>'Ancillary Works - Reviewed'!#REF!</f>
        <v>#REF!</v>
      </c>
      <c r="H12" s="2" t="s">
        <v>2437</v>
      </c>
      <c r="I12" s="2" t="s">
        <v>1143</v>
      </c>
      <c r="J12" s="2" t="s">
        <v>2438</v>
      </c>
    </row>
    <row r="13" spans="1:10">
      <c r="A13" s="2" t="s">
        <v>2439</v>
      </c>
      <c r="B13" s="2" t="s">
        <v>2440</v>
      </c>
      <c r="C13" s="2" t="s">
        <v>2441</v>
      </c>
      <c r="D13" s="2" t="s">
        <v>2442</v>
      </c>
      <c r="E13" s="2" t="s">
        <v>2443</v>
      </c>
      <c r="F13" s="4">
        <v>4787980</v>
      </c>
      <c r="G13" s="4" t="e">
        <f>'Ancillary Works - Reviewed'!#REF!</f>
        <v>#REF!</v>
      </c>
      <c r="H13" s="2" t="s">
        <v>2444</v>
      </c>
      <c r="I13" s="2" t="s">
        <v>1143</v>
      </c>
      <c r="J13" s="2" t="s">
        <v>2445</v>
      </c>
    </row>
    <row r="14" spans="1:10">
      <c r="A14" s="2"/>
      <c r="B14" s="2"/>
      <c r="C14" s="2"/>
      <c r="D14" s="2"/>
      <c r="E14" s="2"/>
      <c r="F14" s="4"/>
      <c r="G14" s="4"/>
      <c r="H14" s="2"/>
      <c r="I14" s="2"/>
      <c r="J14" s="2"/>
    </row>
    <row r="15" spans="1:10">
      <c r="A15" s="2"/>
      <c r="B15" s="2"/>
      <c r="C15" s="2"/>
      <c r="D15" s="2"/>
      <c r="E15" s="2"/>
      <c r="F15" s="4"/>
      <c r="G15" s="4"/>
      <c r="H15" s="2"/>
      <c r="I15" s="2"/>
      <c r="J15" s="2"/>
    </row>
    <row r="16" spans="1:10">
      <c r="A16" s="2"/>
      <c r="B16" s="2"/>
      <c r="C16" s="2"/>
      <c r="D16" s="2"/>
      <c r="E16" s="2"/>
      <c r="F16" s="4"/>
      <c r="G16" s="4"/>
      <c r="H16" s="2"/>
      <c r="I16" s="2"/>
      <c r="J16" s="2"/>
    </row>
    <row r="17" spans="1:10">
      <c r="A17" s="2"/>
      <c r="B17" s="2"/>
      <c r="C17" s="2"/>
      <c r="D17" s="2"/>
      <c r="E17" s="2"/>
      <c r="F17" s="4"/>
      <c r="G17" s="4"/>
      <c r="H17" s="2"/>
      <c r="I17" s="2"/>
      <c r="J17" s="2"/>
    </row>
    <row r="18" spans="1:10">
      <c r="A18" s="2"/>
      <c r="B18" s="2"/>
      <c r="C18" s="2"/>
      <c r="D18" s="2"/>
      <c r="E18" s="2"/>
      <c r="F18" s="4"/>
      <c r="G18" s="4"/>
      <c r="H18" s="2"/>
      <c r="I18" s="2"/>
      <c r="J18" s="2"/>
    </row>
    <row r="19" spans="1:10">
      <c r="A19" s="2"/>
      <c r="B19" s="2"/>
      <c r="C19" s="2"/>
      <c r="D19" s="2"/>
      <c r="E19" s="2"/>
      <c r="F19" s="4"/>
      <c r="G19" s="4"/>
      <c r="H19" s="2"/>
      <c r="I19" s="2"/>
      <c r="J19" s="2"/>
    </row>
    <row r="20" spans="1:10">
      <c r="A20" s="2"/>
      <c r="B20" s="2"/>
      <c r="C20" s="2"/>
      <c r="D20" s="2"/>
      <c r="E20" s="2"/>
      <c r="F20" s="4"/>
      <c r="G20" s="4"/>
      <c r="H20" s="2"/>
      <c r="I20" s="2"/>
      <c r="J20" s="2"/>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vt:i4>
      </vt:variant>
    </vt:vector>
  </HeadingPairs>
  <TitlesOfParts>
    <vt:vector size="31" baseType="lpstr">
      <vt:lpstr>Summary</vt:lpstr>
      <vt:lpstr>Added Renovation BOQ</vt:lpstr>
      <vt:lpstr>Ancillary Works - Reviewed</vt:lpstr>
      <vt:lpstr>Takeoff &amp; Assumptions</vt:lpstr>
      <vt:lpstr>Rates &amp; Basis</vt:lpstr>
      <vt:lpstr>Site Works - Unchanged</vt:lpstr>
      <vt:lpstr>Modular OT - Unchanged</vt:lpstr>
      <vt:lpstr>Source Notes</vt:lpstr>
      <vt:lpstr>MVAC BOQ &amp; Estimate</vt:lpstr>
      <vt:lpstr>MVAC Scope Reconciliation</vt:lpstr>
      <vt:lpstr>MVAC Rates &amp; Basis</vt:lpstr>
      <vt:lpstr>Medical Gas BOQ &amp; Estimate</vt:lpstr>
      <vt:lpstr>Medical Gas Reconciliation</vt:lpstr>
      <vt:lpstr>Medical Gas Rates &amp; Basis</vt:lpstr>
      <vt:lpstr>Water Supply BOQ &amp; Estimate</vt:lpstr>
      <vt:lpstr>Water Supply Reconciliation</vt:lpstr>
      <vt:lpstr>Water Supply Rates &amp; Basis</vt:lpstr>
      <vt:lpstr>Sheet1</vt:lpstr>
      <vt:lpstr>Wastewater &amp; Sewer BOQ</vt:lpstr>
      <vt:lpstr>Wastewater Reconciliation</vt:lpstr>
      <vt:lpstr>Wastewater Rates &amp; Basis</vt:lpstr>
      <vt:lpstr>Rainwater Disposal BOQ</vt:lpstr>
      <vt:lpstr>Rainwater Reconciliation</vt:lpstr>
      <vt:lpstr>Rainwater Rates &amp; Basis</vt:lpstr>
      <vt:lpstr>Electrical BOQ - Reviewed</vt:lpstr>
      <vt:lpstr>Electrical Reconciliation</vt:lpstr>
      <vt:lpstr>Ancillary Reconciliation</vt:lpstr>
      <vt:lpstr>Site Works - Reviewed</vt:lpstr>
      <vt:lpstr>Consolidation Change Register</vt:lpstr>
      <vt:lpstr>'Added Renovation BOQ'!Print_Area</vt:lpstr>
      <vt:lpstr>'Added Renovation BOQ'!Print_Titles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Sandun Bandara</cp:lastModifiedBy>
  <cp:lastPrinted>2026-09-14T04:04:39Z</cp:lastPrinted>
  <dcterms:created xsi:type="dcterms:W3CDTF">2026-09-13T06:23:47Z</dcterms:created>
  <dcterms:modified xsi:type="dcterms:W3CDTF">2026-09-21T13:47:17Z</dcterms:modified>
</cp:coreProperties>
</file>